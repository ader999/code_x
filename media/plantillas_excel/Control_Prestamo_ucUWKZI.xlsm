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1038D6A-EF57-4833-B8E2-4599DAAC404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lientes" sheetId="1" r:id="rId1"/>
    <sheet name="Calculadora" sheetId="2" r:id="rId2"/>
    <sheet name="Estados" sheetId="3" r:id="rId3"/>
    <sheet name="Resumen" sheetId="4" r:id="rId4"/>
    <sheet name="Datos" sheetId="5" r:id="rId5"/>
  </sheets>
  <definedNames>
    <definedName name="cuotas">Datos!$E$4:$E$23</definedName>
    <definedName name="modalidad">Datos!$C$4:$C$7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L5" i="4"/>
  <c r="C5" i="3"/>
  <c r="C6" i="3"/>
  <c r="C7" i="3"/>
  <c r="C8" i="3"/>
  <c r="D6" i="4"/>
  <c r="L6" i="4"/>
  <c r="C9" i="3"/>
  <c r="C10" i="3"/>
  <c r="C11" i="3"/>
  <c r="C12" i="3"/>
  <c r="C13" i="3"/>
  <c r="C14" i="3"/>
  <c r="C15" i="3"/>
  <c r="D7" i="4"/>
  <c r="L7" i="4"/>
  <c r="C16" i="3"/>
  <c r="C17" i="3"/>
  <c r="C18" i="3"/>
  <c r="C19" i="3"/>
  <c r="C20" i="3"/>
  <c r="D8" i="4"/>
  <c r="L8" i="4"/>
  <c r="C21" i="3"/>
  <c r="C22" i="3"/>
  <c r="C23" i="3"/>
  <c r="C24" i="3"/>
  <c r="C25" i="3"/>
  <c r="C26" i="3"/>
  <c r="C27" i="3"/>
  <c r="C28" i="3"/>
  <c r="C29" i="3"/>
  <c r="C30" i="3"/>
  <c r="D7" i="2"/>
  <c r="H6" i="2" l="1" a="1"/>
  <c r="H6" i="2" s="1"/>
  <c r="C1" i="3"/>
  <c r="F7" i="2"/>
  <c r="D17" i="2" s="1"/>
  <c r="D19" i="2" s="1"/>
  <c r="I6" i="3" l="1"/>
  <c r="J6" i="3" s="1"/>
  <c r="K6" i="3" s="1"/>
  <c r="I5" i="3"/>
  <c r="I8" i="3"/>
  <c r="J8" i="3" s="1"/>
  <c r="K8" i="3" s="1"/>
  <c r="I7" i="3"/>
  <c r="I10" i="3"/>
  <c r="J10" i="3" s="1"/>
  <c r="K10" i="3" s="1"/>
  <c r="I9" i="3"/>
  <c r="I12" i="3"/>
  <c r="J12" i="3" s="1"/>
  <c r="K12" i="3" s="1"/>
  <c r="I11" i="3"/>
  <c r="I14" i="3"/>
  <c r="J14" i="3" s="1"/>
  <c r="K14" i="3" s="1"/>
  <c r="I13" i="3"/>
  <c r="I16" i="3"/>
  <c r="J16" i="3" s="1"/>
  <c r="K16" i="3" s="1"/>
  <c r="I15" i="3"/>
  <c r="I18" i="3"/>
  <c r="J18" i="3" s="1"/>
  <c r="K18" i="3" s="1"/>
  <c r="I17" i="3"/>
  <c r="I20" i="3"/>
  <c r="J20" i="3" s="1"/>
  <c r="K20" i="3" s="1"/>
  <c r="I19" i="3"/>
  <c r="I22" i="3"/>
  <c r="J22" i="3" s="1"/>
  <c r="K22" i="3" s="1"/>
  <c r="I21" i="3"/>
  <c r="I24" i="3"/>
  <c r="J24" i="3" s="1"/>
  <c r="K24" i="3" s="1"/>
  <c r="I23" i="3"/>
  <c r="I26" i="3"/>
  <c r="J26" i="3" s="1"/>
  <c r="K26" i="3" s="1"/>
  <c r="I25" i="3"/>
  <c r="I28" i="3"/>
  <c r="J28" i="3" s="1"/>
  <c r="K28" i="3" s="1"/>
  <c r="I27" i="3"/>
  <c r="I30" i="3"/>
  <c r="J30" i="3" s="1"/>
  <c r="I29" i="3"/>
  <c r="I5" i="4" l="1"/>
  <c r="J5" i="4" s="1"/>
  <c r="J5" i="3"/>
  <c r="K5" i="3" s="1"/>
  <c r="J7" i="3"/>
  <c r="K7" i="3" s="1"/>
  <c r="I6" i="4"/>
  <c r="K5" i="4" s="1" a="1"/>
  <c r="K5" i="4" s="1"/>
  <c r="J9" i="3"/>
  <c r="K9" i="3" s="1"/>
  <c r="J11" i="3"/>
  <c r="K11" i="3" s="1"/>
  <c r="J13" i="3"/>
  <c r="K13" i="3" s="1"/>
  <c r="J15" i="3"/>
  <c r="K15" i="3" s="1"/>
  <c r="I7" i="4"/>
  <c r="J17" i="3"/>
  <c r="K17" i="3" s="1"/>
  <c r="J19" i="3"/>
  <c r="K19" i="3" s="1"/>
  <c r="I8" i="4"/>
  <c r="J21" i="3"/>
  <c r="K21" i="3" s="1"/>
  <c r="J23" i="3"/>
  <c r="K23" i="3" s="1"/>
  <c r="J25" i="3"/>
  <c r="K25" i="3" s="1"/>
  <c r="J27" i="3"/>
  <c r="K27" i="3" s="1"/>
  <c r="K30" i="3"/>
  <c r="J29" i="3"/>
  <c r="K29" i="3" s="1"/>
  <c r="J6" i="4" l="1"/>
  <c r="J7" i="4"/>
  <c r="K6" i="4" a="1"/>
  <c r="K6" i="4" s="1"/>
  <c r="K7" i="4" a="1"/>
  <c r="K7" i="4" s="1"/>
  <c r="J8" i="4"/>
  <c r="K8" i="4" a="1"/>
  <c r="K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<sst xmlns="http://schemas.openxmlformats.org/spreadsheetml/2006/main" count="180" uniqueCount="87">
  <si>
    <t>CODIGO</t>
  </si>
  <si>
    <t>NOMBRE Y APELLIDO</t>
  </si>
  <si>
    <t>N° CEDULA</t>
  </si>
  <si>
    <t>DIERECCION</t>
  </si>
  <si>
    <t>TELEFONO</t>
  </si>
  <si>
    <t>COD_CLIENTE</t>
  </si>
  <si>
    <t>CLIENTES</t>
  </si>
  <si>
    <t>MODALIDAD</t>
  </si>
  <si>
    <t>CUOTAS</t>
  </si>
  <si>
    <t>FECHA_VENCE</t>
  </si>
  <si>
    <t>IMPORTE CUOTA</t>
  </si>
  <si>
    <t>FECHA DE PAGO</t>
  </si>
  <si>
    <t>DIAS MORA</t>
  </si>
  <si>
    <t>ALERTA</t>
  </si>
  <si>
    <t>IMPORTE DE CREDITO</t>
  </si>
  <si>
    <t>TASA DE INTERES</t>
  </si>
  <si>
    <t>N° CUOTAS</t>
  </si>
  <si>
    <t>IMPORTE DE LA CUOTA</t>
  </si>
  <si>
    <t>TOTAL A PAGAR</t>
  </si>
  <si>
    <t>FECHA</t>
  </si>
  <si>
    <t>COD_CLI</t>
  </si>
  <si>
    <t>CLIENTE</t>
  </si>
  <si>
    <t>FECHA DE CREDITO</t>
  </si>
  <si>
    <t>IMPORTE DEL CREDITO</t>
  </si>
  <si>
    <t>MONTO PAGADO</t>
  </si>
  <si>
    <t>GANANCIA</t>
  </si>
  <si>
    <t>DEUDA</t>
  </si>
  <si>
    <t>CUOTAS RESTANTES</t>
  </si>
  <si>
    <t>CLI_00001</t>
  </si>
  <si>
    <t>CLI_00002</t>
  </si>
  <si>
    <t>CLI_00003</t>
  </si>
  <si>
    <t>CLI_00004</t>
  </si>
  <si>
    <t>CLI_00005</t>
  </si>
  <si>
    <t>JUAN CENTENO</t>
  </si>
  <si>
    <t>DAVID ZELAYA</t>
  </si>
  <si>
    <t>JOSUE MUNGUIA</t>
  </si>
  <si>
    <t xml:space="preserve">GABRIEL GARCIA </t>
  </si>
  <si>
    <t>DIXON MUÑOS</t>
  </si>
  <si>
    <t>489-01</t>
  </si>
  <si>
    <t>489-02</t>
  </si>
  <si>
    <t>489-03</t>
  </si>
  <si>
    <t>489-04</t>
  </si>
  <si>
    <t>489-05</t>
  </si>
  <si>
    <t>SECTOR N°9</t>
  </si>
  <si>
    <t>8457-9847</t>
  </si>
  <si>
    <t>8546-8974</t>
  </si>
  <si>
    <t>5487-9874</t>
  </si>
  <si>
    <t>5478-9578</t>
  </si>
  <si>
    <t>7548-9758</t>
  </si>
  <si>
    <t>CLI_00006</t>
  </si>
  <si>
    <t>MARIO DAVILA</t>
  </si>
  <si>
    <t>489-06</t>
  </si>
  <si>
    <t>5784-5874</t>
  </si>
  <si>
    <t>Mensual</t>
  </si>
  <si>
    <t>Quincenal</t>
  </si>
  <si>
    <t>Semanal</t>
  </si>
  <si>
    <t>Diario</t>
  </si>
  <si>
    <t xml:space="preserve"> </t>
  </si>
  <si>
    <t>ESTADO</t>
  </si>
  <si>
    <t>CLI_00007</t>
  </si>
  <si>
    <t>JULIO PONCE</t>
  </si>
  <si>
    <t>489-07</t>
  </si>
  <si>
    <t>5478-8547</t>
  </si>
  <si>
    <t>ID PRESTAMO</t>
  </si>
  <si>
    <t>CLI_00008</t>
  </si>
  <si>
    <t>LIANELIS CACERES</t>
  </si>
  <si>
    <t>481-08</t>
  </si>
  <si>
    <t>5214-5874</t>
  </si>
  <si>
    <t>FECHA ACTUAL:</t>
  </si>
  <si>
    <t>CLI_00009</t>
  </si>
  <si>
    <t>481-09</t>
  </si>
  <si>
    <t>5847-9685</t>
  </si>
  <si>
    <t>COD. PRESTAMO</t>
  </si>
  <si>
    <t>Cuota- 1</t>
  </si>
  <si>
    <t>Cuota- 2</t>
  </si>
  <si>
    <t>Cuota- 3</t>
  </si>
  <si>
    <t>Cuota- 4</t>
  </si>
  <si>
    <t>Cuota- 5</t>
  </si>
  <si>
    <t>Cuota- 6</t>
  </si>
  <si>
    <t>Cuota- 7</t>
  </si>
  <si>
    <t>Cuota- 8</t>
  </si>
  <si>
    <t>Cuota- 9</t>
  </si>
  <si>
    <t>Cuota- 10</t>
  </si>
  <si>
    <t>Warcraft884999</t>
  </si>
  <si>
    <t xml:space="preserve">CARMEN DAVILA </t>
  </si>
  <si>
    <t>fwf</t>
  </si>
  <si>
    <t>sdfsf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</si>
</sst>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C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0" fillId="2" borderId="0" xfId="0" applyFill="1" applyAlignment="1">
      <alignment horizontal="center" vertical="center"/>
    </xf>
    <xf numFmtId="9" fontId="0" fillId="0" borderId="0" xfId="1" applyFo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9" fontId="4" fillId="2" borderId="0" xfId="1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14" fontId="4" fillId="5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14" fontId="4" fillId="5" borderId="2" xfId="0" applyNumberFormat="1" applyFont="1" applyFill="1" applyBorder="1" applyAlignment="1">
      <alignment horizontal="center" vertical="center"/>
    </xf>
    <xf numFmtId="9" fontId="4" fillId="5" borderId="2" xfId="1" applyFont="1" applyFill="1" applyBorder="1" applyAlignment="1">
      <alignment horizontal="center" vertical="center"/>
    </xf>
    <xf numFmtId="0" fontId="1" fillId="7" borderId="3" xfId="0" applyFont="1" applyFill="1" applyBorder="1"/>
    <xf numFmtId="14" fontId="1" fillId="7" borderId="4" xfId="0" applyNumberFormat="1" applyFont="1" applyFill="1" applyBorder="1" applyAlignment="1">
      <alignment horizontal="left"/>
    </xf>
    <xf numFmtId="164" fontId="0" fillId="0" borderId="0" xfId="0" applyNumberFormat="1"/>
    <xf numFmtId="164" fontId="4" fillId="2" borderId="0" xfId="0" applyNumberFormat="1" applyFont="1" applyFill="1" applyAlignment="1">
      <alignment horizontal="center" vertical="center"/>
    </xf>
    <xf numFmtId="164" fontId="4" fillId="5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Protection="1">
      <protection locked="0"/>
    </xf>
    <xf numFmtId="0" fontId="2" fillId="3" borderId="0" xfId="0" applyFont="1" applyFill="1" applyProtection="1">
      <protection locked="0"/>
    </xf>
    <xf numFmtId="0" fontId="1" fillId="0" borderId="0" xfId="0" applyFont="1" applyAlignment="1" applyProtection="1">
      <alignment horizontal="right" indent="1"/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0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164" fontId="0" fillId="4" borderId="1" xfId="0" applyNumberFormat="1" applyFill="1" applyBorder="1" applyProtection="1">
      <protection hidden="1"/>
    </xf>
    <xf numFmtId="0" fontId="1" fillId="8" borderId="1" xfId="0" applyFont="1" applyFill="1" applyBorder="1" applyAlignment="1" applyProtection="1">
      <alignment horizontal="center"/>
      <protection locked="0"/>
    </xf>
    <xf numFmtId="0" fontId="4" fillId="5" borderId="5" xfId="0" applyFont="1" applyFill="1" applyBorder="1" applyAlignment="1">
      <alignment horizontal="center"/>
    </xf>
    <xf numFmtId="14" fontId="4" fillId="5" borderId="5" xfId="0" applyNumberFormat="1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2">
    <cellStyle name="Normal" xfId="0" builtinId="0"/>
    <cellStyle name="Porcentaje" xfId="1" builtinId="5"/>
  </cellStyles>
  <dxfs count="39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numFmt numFmtId="164" formatCode="&quot;C$&quot;#,##0.00"/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numFmt numFmtId="165" formatCode="&quot;C$&quot;#,##0.00;\-&quot;C$&quot;#,##0.00"/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numFmt numFmtId="164" formatCode="&quot;C$&quot;#,##0.00"/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5117038483843"/>
        </patternFill>
      </fill>
    </dxf>
    <dxf>
      <numFmt numFmtId="0" formatCode="General"/>
      <fill>
        <patternFill patternType="solid">
          <fgColor indexed="64"/>
          <bgColor theme="4" tint="0.79995117038483843"/>
        </patternFill>
      </fill>
    </dxf>
    <dxf>
      <numFmt numFmtId="0" formatCode="General"/>
      <fill>
        <patternFill patternType="solid">
          <fgColor indexed="64"/>
          <bgColor theme="4" tint="0.79995117038483843"/>
        </patternFill>
      </fill>
    </dxf>
    <dxf>
      <numFmt numFmtId="0" formatCode="General"/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ill>
        <patternFill patternType="solid">
          <fgColor indexed="64"/>
          <bgColor theme="4" tint="0.79995117038483843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7</xdr:row>
      <xdr:rowOff>30480</xdr:rowOff>
    </xdr:from>
    <xdr:to>
      <xdr:col>6</xdr:col>
      <xdr:colOff>0</xdr:colOff>
      <xdr:row>10</xdr:row>
      <xdr:rowOff>38100</xdr:rowOff>
    </xdr:to>
    <xdr:sp macro="" textlink="">
      <xdr:nvSpPr>
        <xdr:cNvPr id="2" name="Globo: flecha hacia arriba 1">
          <a:extLst>
            <a:ext uri="{FF2B5EF4-FFF2-40B4-BE49-F238E27FC236}">
              <a16:creationId xmlns:a16="http://schemas.microsoft.com/office/drawing/2014/main" id="{F5978E5A-C708-4B62-A9F9-4F621D594196}"/>
            </a:ext>
          </a:extLst>
        </xdr:cNvPr>
        <xdr:cNvSpPr/>
      </xdr:nvSpPr>
      <xdr:spPr>
        <a:xfrm>
          <a:off x="7688580" y="1363980"/>
          <a:ext cx="1371600" cy="464820"/>
        </a:xfrm>
        <a:prstGeom prst="upArrowCallou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 b="1"/>
            <a:t>INTERES</a:t>
          </a:r>
          <a:r>
            <a:rPr lang="es-NI" sz="1100"/>
            <a:t> </a:t>
          </a:r>
          <a:r>
            <a:rPr lang="es-NI" sz="1100" b="1"/>
            <a:t>GENERADO</a:t>
          </a:r>
        </a:p>
      </xdr:txBody>
    </xdr:sp>
    <xdr:clientData/>
  </xdr:twoCellAnchor>
  <xdr:twoCellAnchor>
    <xdr:from>
      <xdr:col>3</xdr:col>
      <xdr:colOff>0</xdr:colOff>
      <xdr:row>22</xdr:row>
      <xdr:rowOff>83820</xdr:rowOff>
    </xdr:from>
    <xdr:to>
      <xdr:col>3</xdr:col>
      <xdr:colOff>800100</xdr:colOff>
      <xdr:row>24</xdr:row>
      <xdr:rowOff>144780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D83DDAB-71F4-4BD9-9DC3-3B5BFD347727}"/>
            </a:ext>
          </a:extLst>
        </xdr:cNvPr>
        <xdr:cNvSpPr/>
      </xdr:nvSpPr>
      <xdr:spPr>
        <a:xfrm>
          <a:off x="5494020" y="3931920"/>
          <a:ext cx="800100" cy="4267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100"/>
            <a:t>LIMPIAR</a:t>
          </a:r>
        </a:p>
      </xdr:txBody>
    </xdr:sp>
    <xdr:clientData/>
  </xdr:twoCellAnchor>
  <xdr:twoCellAnchor editAs="oneCell">
    <xdr:from>
      <xdr:col>1</xdr:col>
      <xdr:colOff>801757</xdr:colOff>
      <xdr:row>0</xdr:row>
      <xdr:rowOff>0</xdr:rowOff>
    </xdr:from>
    <xdr:to>
      <xdr:col>1</xdr:col>
      <xdr:colOff>1449757</xdr:colOff>
      <xdr:row>3</xdr:row>
      <xdr:rowOff>95336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FE90CCE-8EF6-41C3-9BBA-3C2CFED529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285" t="69735" r="36974" b="4368"/>
        <a:stretch/>
      </xdr:blipFill>
      <xdr:spPr>
        <a:xfrm>
          <a:off x="3955774" y="0"/>
          <a:ext cx="648000" cy="651927"/>
        </a:xfrm>
        <a:prstGeom prst="rect">
          <a:avLst/>
        </a:prstGeom>
      </xdr:spPr>
    </xdr:pic>
    <xdr:clientData/>
  </xdr:twoCellAnchor>
  <xdr:twoCellAnchor editAs="oneCell">
    <xdr:from>
      <xdr:col>3</xdr:col>
      <xdr:colOff>642730</xdr:colOff>
      <xdr:row>0</xdr:row>
      <xdr:rowOff>86139</xdr:rowOff>
    </xdr:from>
    <xdr:to>
      <xdr:col>3</xdr:col>
      <xdr:colOff>1224470</xdr:colOff>
      <xdr:row>3</xdr:row>
      <xdr:rowOff>68832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220C9A8-4075-4650-8A37-6CE5D2ED7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36" t="39482" r="71455" b="39096"/>
        <a:stretch/>
      </xdr:blipFill>
      <xdr:spPr>
        <a:xfrm>
          <a:off x="5890591" y="86139"/>
          <a:ext cx="581740" cy="539284"/>
        </a:xfrm>
        <a:prstGeom prst="rect">
          <a:avLst/>
        </a:prstGeom>
      </xdr:spPr>
    </xdr:pic>
    <xdr:clientData/>
  </xdr:twoCellAnchor>
  <xdr:twoCellAnchor editAs="oneCell">
    <xdr:from>
      <xdr:col>5</xdr:col>
      <xdr:colOff>377686</xdr:colOff>
      <xdr:row>0</xdr:row>
      <xdr:rowOff>53007</xdr:rowOff>
    </xdr:from>
    <xdr:to>
      <xdr:col>5</xdr:col>
      <xdr:colOff>993913</xdr:colOff>
      <xdr:row>3</xdr:row>
      <xdr:rowOff>145771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AB1C8E3-B778-456B-B583-A531551695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84" t="2895" r="71137" b="71310"/>
        <a:stretch/>
      </xdr:blipFill>
      <xdr:spPr>
        <a:xfrm>
          <a:off x="7805529" y="53007"/>
          <a:ext cx="616227" cy="649355"/>
        </a:xfrm>
        <a:prstGeom prst="rect">
          <a:avLst/>
        </a:prstGeom>
      </xdr:spPr>
    </xdr:pic>
    <xdr:clientData/>
  </xdr:twoCellAnchor>
  <xdr:twoCellAnchor editAs="oneCell">
    <xdr:from>
      <xdr:col>4</xdr:col>
      <xdr:colOff>92765</xdr:colOff>
      <xdr:row>5</xdr:row>
      <xdr:rowOff>191547</xdr:rowOff>
    </xdr:from>
    <xdr:to>
      <xdr:col>4</xdr:col>
      <xdr:colOff>324679</xdr:colOff>
      <xdr:row>7</xdr:row>
      <xdr:rowOff>2704</xdr:rowOff>
    </xdr:to>
    <xdr:pic macro="[0]!llamar_formularioclientes">
      <xdr:nvPicPr>
        <xdr:cNvPr id="9" name="Imagen 8">
          <a:extLst>
            <a:ext uri="{FF2B5EF4-FFF2-40B4-BE49-F238E27FC236}">
              <a16:creationId xmlns:a16="http://schemas.microsoft.com/office/drawing/2014/main" id="{C3B10D46-27E3-48C2-AEB9-71829D46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407965" y="1119199"/>
          <a:ext cx="231914" cy="23191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1238415</xdr:colOff>
      <xdr:row>22</xdr:row>
      <xdr:rowOff>70237</xdr:rowOff>
    </xdr:from>
    <xdr:to>
      <xdr:col>3</xdr:col>
      <xdr:colOff>1708869</xdr:colOff>
      <xdr:row>24</xdr:row>
      <xdr:rowOff>169630</xdr:rowOff>
    </xdr:to>
    <xdr:pic macro="[0]!calcular">
      <xdr:nvPicPr>
        <xdr:cNvPr id="10" name="Imagen 9">
          <a:extLst>
            <a:ext uri="{FF2B5EF4-FFF2-40B4-BE49-F238E27FC236}">
              <a16:creationId xmlns:a16="http://schemas.microsoft.com/office/drawing/2014/main" id="{F1A08E2D-C877-4020-A318-760F970DC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2435" y="3918337"/>
          <a:ext cx="470454" cy="4651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853440</xdr:colOff>
      <xdr:row>0</xdr:row>
      <xdr:rowOff>60960</xdr:rowOff>
    </xdr:from>
    <xdr:to>
      <xdr:col>11</xdr:col>
      <xdr:colOff>883920</xdr:colOff>
      <xdr:row>2</xdr:row>
      <xdr:rowOff>121920</xdr:rowOff>
    </xdr:to>
    <xdr:sp macro="[0]!eliminar_prestam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4F1B6E3-33C8-4A14-8E57-2B9F3545C6FB}"/>
            </a:ext>
          </a:extLst>
        </xdr:cNvPr>
        <xdr:cNvSpPr/>
      </xdr:nvSpPr>
      <xdr:spPr>
        <a:xfrm>
          <a:off x="11879580" y="60960"/>
          <a:ext cx="2019300" cy="43434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NI" sz="1100"/>
            <a:t>                   </a:t>
          </a:r>
          <a:r>
            <a:rPr lang="es-NI" sz="1200" b="1"/>
            <a:t>Eliminar Prestamo</a:t>
          </a:r>
          <a:endParaRPr lang="es-NI" sz="1100" b="1"/>
        </a:p>
      </xdr:txBody>
    </xdr:sp>
    <xdr:clientData/>
  </xdr:twoCellAnchor>
  <xdr:twoCellAnchor editAs="oneCell">
    <xdr:from>
      <xdr:col>10</xdr:col>
      <xdr:colOff>60960</xdr:colOff>
      <xdr:row>0</xdr:row>
      <xdr:rowOff>106680</xdr:rowOff>
    </xdr:from>
    <xdr:to>
      <xdr:col>10</xdr:col>
      <xdr:colOff>624840</xdr:colOff>
      <xdr:row>2</xdr:row>
      <xdr:rowOff>101099</xdr:rowOff>
    </xdr:to>
    <xdr:pic macro="[0]!eliminar_prestamos">
      <xdr:nvPicPr>
        <xdr:cNvPr id="5" name="Imagen 4">
          <a:extLst>
            <a:ext uri="{FF2B5EF4-FFF2-40B4-BE49-F238E27FC236}">
              <a16:creationId xmlns:a16="http://schemas.microsoft.com/office/drawing/2014/main" id="{F5330066-4801-479D-AE65-7040B87BB8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776" t="16729" r="21194" b="15282"/>
        <a:stretch/>
      </xdr:blipFill>
      <xdr:spPr>
        <a:xfrm>
          <a:off x="11963400" y="106680"/>
          <a:ext cx="563880" cy="3677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3158AE-186B-4810-B64D-12263FA7AD2C}" name="CLIENTES" displayName="CLIENTES" ref="B4:F14" totalsRowShown="0" headerRowDxfId="38" dataDxfId="37">
  <autoFilter ref="B4:F14" xr:uid="{AC3158AE-186B-4810-B64D-12263FA7AD2C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B2A2B78-AC28-407F-8254-D0327467B7C8}" name="CODIGO" dataDxfId="36"/>
    <tableColumn id="2" xr3:uid="{A1232DB7-D9E5-45A3-B652-91C3AF8F82E3}" name="NOMBRE Y APELLIDO" dataDxfId="35"/>
    <tableColumn id="3" xr3:uid="{AD0EA1BC-C905-4062-A6EB-AA5A9CAB78F3}" name="N° CEDULA" dataDxfId="34"/>
    <tableColumn id="4" xr3:uid="{8DCA3CD4-2E02-4E84-A33C-43545ED37FAF}" name="DIERECCION" dataDxfId="33"/>
    <tableColumn id="5" xr3:uid="{531C1DC7-5D23-4CB1-80BA-86E9A94CC279}" name="TELEFONO" dataDxfId="32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E05B2-50EC-4E15-833E-8192E2C64B30}" name="ESTADOS" displayName="ESTADOS" ref="B4:L30" headerRowDxfId="31" dataDxfId="30">
  <autoFilter ref="B4:L30" xr:uid="{44DE05B2-50EC-4E15-833E-8192E2C64B30}"/>
  <tableColumns count="11">
    <tableColumn id="1" xr3:uid="{F64CAC91-7FA7-4503-B615-B09D96E0A272}" name="COD_CLIENTE" totalsRowLabel="Total" dataDxfId="29"/>
    <tableColumn id="2" xr3:uid="{F4229A81-6840-43C6-AA2F-BDE4873FBC3D}" name="CLIENTES" dataDxfId="28">
      <calculatedColumnFormula>VLOOKUP(ESTADOS[[#This Row],[COD_CLIENTE]],CLIENTES[],2,FALSE)</calculatedColumnFormula>
    </tableColumn>
    <tableColumn id="3" xr3:uid="{94B44FB0-CC4E-49E7-8F42-AA6834CDFC5C}" name="MODALIDAD" dataDxfId="27"/>
    <tableColumn id="4" xr3:uid="{4A3E4076-67BA-45A7-BF57-9F4638FD1354}" name="CUOTAS" dataDxfId="26"/>
    <tableColumn id="5" xr3:uid="{81042CB4-8305-487D-91D7-EAD207C5F619}" name="FECHA_VENCE" dataDxfId="25"/>
    <tableColumn id="6" xr3:uid="{7BEA4522-070F-46CB-BB6E-E0ED1136760D}" name="IMPORTE CUOTA" dataDxfId="24"/>
    <tableColumn id="7" xr3:uid="{DA9569D3-5987-4A1D-BFC1-B7678DE24C51}" name="FECHA DE PAGO" dataDxfId="23"/>
    <tableColumn id="11" xr3:uid="{DFF80A59-3022-4B4E-B089-C695BFA5929B}" name="ESTADO" dataDxfId="22">
      <calculatedColumnFormula>IF(ISNUMBER(H5),"PAGADO",IF(ESTADOS[[#This Row],[FECHA_VENCE]]&gt;$C$1,"PENDIENTE",IF(ESTADOS[[#This Row],[FECHA_VENCE]]&lt;$C$1,"VENCIDO")))</calculatedColumnFormula>
    </tableColumn>
    <tableColumn id="8" xr3:uid="{B9273B52-B5E1-4048-A9B8-1A6E7A741B1D}" name="DIAS MORA" dataDxfId="21">
      <calculatedColumnFormula>IF(ESTADOS[[#This Row],[ESTADO]]="PAGADO","0",IF(ESTADOS[[#This Row],[FECHA_VENCE]]&lt;$C$1,ESTADOS[[#This Row],[FECHA_VENCE]]-$C$1,"0"))</calculatedColumnFormula>
    </tableColumn>
    <tableColumn id="9" xr3:uid="{3A4462DC-D980-4D0B-8164-AB0C15408754}" name="ALERTA" dataDxfId="20">
      <calculatedColumnFormula>IF(ESTADOS[[#This Row],[ESTADO]]="PAGADO","",IF(ESTADOS[[#This Row],[DIAS MORA]]&lt;=-7,"&gt;7 Días de Retraso",""))</calculatedColumnFormula>
    </tableColumn>
    <tableColumn id="10" xr3:uid="{6776C1B9-895F-42D2-AD48-65A132F813D6}" name="ID PRESTAMO" totalsRowFunction="count" dataDxfId="1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00AF74-B42F-4F52-9065-D16AAF77983C}" name="Tabla4" displayName="Tabla4" ref="B4:L8" totalsRowShown="0" headerRowDxfId="18" dataDxfId="17">
  <autoFilter ref="B4:L8" xr:uid="{4A00AF74-B42F-4F52-9065-D16AAF77983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21D7F69-F1D2-4B7A-B882-8FED4BB15E05}" name="ID PRESTAMO" dataDxfId="16"/>
    <tableColumn id="2" xr3:uid="{02D6A750-E318-4162-8083-3A01723DC467}" name="COD_CLI" dataDxfId="15"/>
    <tableColumn id="3" xr3:uid="{9FBACC5B-3B8E-417B-AE82-0A0A55A26003}" name="CLIENTE" dataDxfId="14">
      <calculatedColumnFormula>VLOOKUP(Tabla4[[#This Row],[COD_CLI]],CLIENTES[],2,FALSE)</calculatedColumnFormula>
    </tableColumn>
    <tableColumn id="4" xr3:uid="{6B01265D-EB42-49F1-B0A6-131D4B5AD88A}" name="FECHA DE CREDITO" dataDxfId="13"/>
    <tableColumn id="5" xr3:uid="{5289C8A5-A171-4336-9308-F1FBEE39DC91}" name="IMPORTE DEL CREDITO" dataDxfId="12"/>
    <tableColumn id="6" xr3:uid="{F11AF6C7-F04B-4ADF-87DD-9F15B70A2F16}" name="MODALIDAD" dataDxfId="11"/>
    <tableColumn id="7" xr3:uid="{9F931750-E572-4622-AFE9-1751D7A48E92}" name="TASA DE INTERES" dataDxfId="10" dataCellStyle="Porcentaje"/>
    <tableColumn id="8" xr3:uid="{13B59351-2D34-4B22-9943-DC94DA0FA4A7}" name="MONTO PAGADO" dataDxfId="9">
      <calculatedColumnFormula>SUMIFS(ESTADOS[IMPORTE CUOTA],ESTADOS[ID PRESTAMO],Tabla4[[#This Row],[ID PRESTAMO]],ESTADOS[ESTADO],"PAGADO")</calculatedColumnFormula>
    </tableColumn>
    <tableColumn id="9" xr3:uid="{26A109A8-E888-4683-BDC8-2E4B1ABCE4F9}" name="GANANCIA" dataDxfId="8">
      <calculatedColumnFormula>Tabla4[[#This Row],[MONTO PAGADO]]-Tabla4[[#This Row],[IMPORTE DEL CREDITO]]</calculatedColumnFormula>
    </tableColumn>
    <tableColumn id="10" xr3:uid="{ADAB9158-44A4-4BF6-AB7C-31A21A4B77C1}" name="DEUDA" dataDxfId="7">
      <calculatedColumnFormula array="1">SUM(Tabla4[IMPORTE DEL CREDITO]*Tabla4[TASA DE INTERES]+Tabla4[IMPORTE DEL CREDITO]-Tabla4[MONTO PAGADO])</calculatedColumnFormula>
    </tableColumn>
    <tableColumn id="11" xr3:uid="{B10933ED-2897-4D02-834E-0FD40F56DF23}" name="CUOTAS RESTANTES" dataDxfId="6">
      <calculatedColumnFormula>COUNTIFS(ESTADOS[ID PRESTAMO],Tabla4[[#This Row],[ID PRESTAMO]],ESTADOS[FECHA DE PAGO],"")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B4:F270"/>
  <sheetViews>
    <sheetView tabSelected="1" workbookViewId="0">
      <selection activeCell="H13" sqref="H13"/>
    </sheetView>
  </sheetViews>
  <sheetFormatPr baseColWidth="10" defaultColWidth="8.88671875" defaultRowHeight="14.4" x14ac:dyDescent="0.3"/>
  <cols>
    <col min="1" max="1" width="3.77734375" customWidth="1"/>
    <col min="2" max="2" width="15.77734375" customWidth="1"/>
    <col min="3" max="3" width="35.77734375" customWidth="1"/>
    <col min="4" max="4" width="25.77734375" customWidth="1"/>
    <col min="5" max="5" width="55.77734375" customWidth="1"/>
    <col min="6" max="6" width="12.77734375" customWidth="1"/>
  </cols>
  <sheetData>
    <row r="4" spans="2:6" ht="19.95" customHeight="1" x14ac:dyDescent="0.3">
      <c r="B4" s="8" t="s">
        <v>0</v>
      </c>
      <c r="C4" s="8" t="s">
        <v>1</v>
      </c>
      <c r="D4" s="8" t="s">
        <v>2</v>
      </c>
      <c r="E4" s="8" t="s">
        <v>3</v>
      </c>
      <c r="F4" s="8" t="s">
        <v>4</v>
      </c>
    </row>
    <row r="5" spans="2:6" ht="19.95" customHeight="1" x14ac:dyDescent="0.3">
      <c r="B5" s="9" t="s">
        <v>28</v>
      </c>
      <c r="C5" s="9" t="s">
        <v>33</v>
      </c>
      <c r="D5" s="10" t="s">
        <v>38</v>
      </c>
      <c r="E5" s="10" t="s">
        <v>43</v>
      </c>
      <c r="F5" s="10" t="s">
        <v>44</v>
      </c>
    </row>
    <row r="6" spans="2:6" ht="19.95" customHeight="1" x14ac:dyDescent="0.3">
      <c r="B6" s="9" t="s">
        <v>29</v>
      </c>
      <c r="C6" s="9" t="s">
        <v>34</v>
      </c>
      <c r="D6" s="10" t="s">
        <v>39</v>
      </c>
      <c r="E6" s="10" t="s">
        <v>43</v>
      </c>
      <c r="F6" s="10" t="s">
        <v>45</v>
      </c>
    </row>
    <row r="7" spans="2:6" ht="19.95" customHeight="1" x14ac:dyDescent="0.3">
      <c r="B7" s="9" t="s">
        <v>30</v>
      </c>
      <c r="C7" s="9" t="s">
        <v>35</v>
      </c>
      <c r="D7" s="10" t="s">
        <v>40</v>
      </c>
      <c r="E7" s="10" t="s">
        <v>43</v>
      </c>
      <c r="F7" s="10" t="s">
        <v>46</v>
      </c>
    </row>
    <row r="8" spans="2:6" ht="19.95" customHeight="1" x14ac:dyDescent="0.3">
      <c r="B8" s="9" t="s">
        <v>31</v>
      </c>
      <c r="C8" s="9" t="s">
        <v>36</v>
      </c>
      <c r="D8" s="10" t="s">
        <v>41</v>
      </c>
      <c r="E8" s="10" t="s">
        <v>43</v>
      </c>
      <c r="F8" s="10" t="s">
        <v>47</v>
      </c>
    </row>
    <row r="9" spans="2:6" ht="19.95" customHeight="1" x14ac:dyDescent="0.3">
      <c r="B9" s="9" t="s">
        <v>32</v>
      </c>
      <c r="C9" s="9" t="s">
        <v>37</v>
      </c>
      <c r="D9" s="10" t="s">
        <v>42</v>
      </c>
      <c r="E9" s="10" t="s">
        <v>43</v>
      </c>
      <c r="F9" s="10" t="s">
        <v>48</v>
      </c>
    </row>
    <row r="10" spans="2:6" ht="19.95" customHeight="1" x14ac:dyDescent="0.3">
      <c r="B10" s="9" t="s">
        <v>49</v>
      </c>
      <c r="C10" s="9" t="s">
        <v>50</v>
      </c>
      <c r="D10" s="10" t="s">
        <v>51</v>
      </c>
      <c r="E10" s="10" t="s">
        <v>43</v>
      </c>
      <c r="F10" s="10" t="s">
        <v>52</v>
      </c>
    </row>
    <row r="11" spans="2:6" ht="19.95" customHeight="1" x14ac:dyDescent="0.3">
      <c r="B11" s="9" t="s">
        <v>59</v>
      </c>
      <c r="C11" s="9" t="s">
        <v>60</v>
      </c>
      <c r="D11" s="10" t="s">
        <v>61</v>
      </c>
      <c r="E11" s="10" t="s">
        <v>43</v>
      </c>
      <c r="F11" s="10" t="s">
        <v>62</v>
      </c>
    </row>
    <row r="12" spans="2:6" ht="19.95" customHeight="1" x14ac:dyDescent="0.3">
      <c r="B12" s="9" t="s">
        <v>64</v>
      </c>
      <c r="C12" s="9" t="s">
        <v>65</v>
      </c>
      <c r="D12" s="10" t="s">
        <v>66</v>
      </c>
      <c r="E12" s="10" t="s">
        <v>43</v>
      </c>
      <c r="F12" s="10" t="s">
        <v>67</v>
      </c>
    </row>
    <row r="13" spans="2:6" ht="19.95" customHeight="1" x14ac:dyDescent="0.3">
      <c r="B13" s="9" t="s">
        <v>69</v>
      </c>
      <c r="C13" s="9" t="s">
        <v>84</v>
      </c>
      <c r="D13" s="10" t="s">
        <v>70</v>
      </c>
      <c r="E13" s="10" t="s">
        <v>43</v>
      </c>
      <c r="F13" s="10" t="s">
        <v>71</v>
      </c>
    </row>
    <row r="14" spans="2:6" ht="19.95" customHeight="1" x14ac:dyDescent="0.3">
      <c r="B14" s="9" t="s">
        <v>85</v>
      </c>
      <c r="C14" s="9" t="s">
        <v>34</v>
      </c>
      <c r="D14" s="10">
        <v>481</v>
      </c>
      <c r="E14" s="10" t="s">
        <v>86</v>
      </c>
      <c r="F14" s="10">
        <v>2578244</v>
      </c>
    </row>
    <row r="15" spans="2:6" ht="19.95" customHeight="1" x14ac:dyDescent="0.3"/>
    <row r="16" spans="2: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6.95" customHeight="1" x14ac:dyDescent="0.3"/>
    <row r="42" ht="16.95" customHeight="1" x14ac:dyDescent="0.3"/>
    <row r="43" ht="16.95" customHeight="1" x14ac:dyDescent="0.3"/>
    <row r="44" ht="16.95" customHeight="1" x14ac:dyDescent="0.3"/>
    <row r="45" ht="16.95" customHeight="1" x14ac:dyDescent="0.3"/>
    <row r="46" ht="16.95" customHeight="1" x14ac:dyDescent="0.3"/>
    <row r="47" ht="16.95" customHeight="1" x14ac:dyDescent="0.3"/>
    <row r="48" ht="16.95" customHeight="1" x14ac:dyDescent="0.3"/>
    <row r="49" ht="16.95" customHeight="1" x14ac:dyDescent="0.3"/>
    <row r="50" ht="16.95" customHeight="1" x14ac:dyDescent="0.3"/>
    <row r="51" ht="16.95" customHeight="1" x14ac:dyDescent="0.3"/>
    <row r="52" ht="16.95" customHeight="1" x14ac:dyDescent="0.3"/>
    <row r="53" ht="16.95" customHeight="1" x14ac:dyDescent="0.3"/>
    <row r="54" ht="16.95" customHeight="1" x14ac:dyDescent="0.3"/>
    <row r="55" ht="16.95" customHeight="1" x14ac:dyDescent="0.3"/>
    <row r="56" ht="16.95" customHeight="1" x14ac:dyDescent="0.3"/>
    <row r="57" ht="16.95" customHeight="1" x14ac:dyDescent="0.3"/>
    <row r="58" ht="16.95" customHeight="1" x14ac:dyDescent="0.3"/>
    <row r="59" ht="16.95" customHeight="1" x14ac:dyDescent="0.3"/>
    <row r="60" ht="16.95" customHeight="1" x14ac:dyDescent="0.3"/>
    <row r="61" ht="16.95" customHeight="1" x14ac:dyDescent="0.3"/>
    <row r="62" ht="16.95" customHeight="1" x14ac:dyDescent="0.3"/>
    <row r="63" ht="16.95" customHeight="1" x14ac:dyDescent="0.3"/>
    <row r="64" ht="16.95" customHeight="1" x14ac:dyDescent="0.3"/>
    <row r="65" ht="16.95" customHeight="1" x14ac:dyDescent="0.3"/>
    <row r="66" ht="16.95" customHeight="1" x14ac:dyDescent="0.3"/>
    <row r="67" ht="16.95" customHeight="1" x14ac:dyDescent="0.3"/>
    <row r="68" ht="16.95" customHeight="1" x14ac:dyDescent="0.3"/>
    <row r="69" ht="16.95" customHeight="1" x14ac:dyDescent="0.3"/>
    <row r="70" ht="16.95" customHeight="1" x14ac:dyDescent="0.3"/>
    <row r="71" ht="16.95" customHeight="1" x14ac:dyDescent="0.3"/>
    <row r="72" ht="16.95" customHeight="1" x14ac:dyDescent="0.3"/>
    <row r="73" ht="16.95" customHeight="1" x14ac:dyDescent="0.3"/>
    <row r="74" ht="16.95" customHeight="1" x14ac:dyDescent="0.3"/>
    <row r="75" ht="16.95" customHeight="1" x14ac:dyDescent="0.3"/>
    <row r="76" ht="16.95" customHeight="1" x14ac:dyDescent="0.3"/>
    <row r="77" ht="16.95" customHeight="1" x14ac:dyDescent="0.3"/>
    <row r="78" ht="16.95" customHeight="1" x14ac:dyDescent="0.3"/>
    <row r="79" ht="16.95" customHeight="1" x14ac:dyDescent="0.3"/>
    <row r="80" ht="16.95" customHeight="1" x14ac:dyDescent="0.3"/>
    <row r="81" ht="16.95" customHeight="1" x14ac:dyDescent="0.3"/>
    <row r="82" ht="16.95" customHeight="1" x14ac:dyDescent="0.3"/>
    <row r="83" ht="16.95" customHeight="1" x14ac:dyDescent="0.3"/>
    <row r="84" ht="16.95" customHeight="1" x14ac:dyDescent="0.3"/>
    <row r="85" ht="16.95" customHeight="1" x14ac:dyDescent="0.3"/>
    <row r="86" ht="16.95" customHeight="1" x14ac:dyDescent="0.3"/>
    <row r="87" ht="16.95" customHeight="1" x14ac:dyDescent="0.3"/>
    <row r="88" ht="16.95" customHeight="1" x14ac:dyDescent="0.3"/>
    <row r="89" ht="16.95" customHeight="1" x14ac:dyDescent="0.3"/>
    <row r="90" ht="16.95" customHeight="1" x14ac:dyDescent="0.3"/>
    <row r="91" ht="16.95" customHeight="1" x14ac:dyDescent="0.3"/>
    <row r="92" ht="16.95" customHeight="1" x14ac:dyDescent="0.3"/>
    <row r="93" ht="16.95" customHeight="1" x14ac:dyDescent="0.3"/>
    <row r="94" ht="16.95" customHeight="1" x14ac:dyDescent="0.3"/>
    <row r="95" ht="16.95" customHeight="1" x14ac:dyDescent="0.3"/>
    <row r="96" ht="16.95" customHeight="1" x14ac:dyDescent="0.3"/>
    <row r="97" ht="16.95" customHeight="1" x14ac:dyDescent="0.3"/>
    <row r="98" ht="16.95" customHeight="1" x14ac:dyDescent="0.3"/>
    <row r="99" ht="16.95" customHeight="1" x14ac:dyDescent="0.3"/>
    <row r="100" ht="16.95" customHeight="1" x14ac:dyDescent="0.3"/>
    <row r="101" ht="16.95" customHeight="1" x14ac:dyDescent="0.3"/>
    <row r="102" ht="16.95" customHeight="1" x14ac:dyDescent="0.3"/>
    <row r="103" ht="16.95" customHeight="1" x14ac:dyDescent="0.3"/>
    <row r="104" ht="16.95" customHeight="1" x14ac:dyDescent="0.3"/>
    <row r="105" ht="16.95" customHeight="1" x14ac:dyDescent="0.3"/>
    <row r="106" ht="16.95" customHeight="1" x14ac:dyDescent="0.3"/>
    <row r="107" ht="16.95" customHeight="1" x14ac:dyDescent="0.3"/>
    <row r="108" ht="16.95" customHeight="1" x14ac:dyDescent="0.3"/>
    <row r="109" ht="16.95" customHeight="1" x14ac:dyDescent="0.3"/>
    <row r="110" ht="16.95" customHeight="1" x14ac:dyDescent="0.3"/>
    <row r="111" ht="16.95" customHeight="1" x14ac:dyDescent="0.3"/>
    <row r="112" ht="16.95" customHeight="1" x14ac:dyDescent="0.3"/>
    <row r="113" ht="16.95" customHeight="1" x14ac:dyDescent="0.3"/>
    <row r="114" ht="16.95" customHeight="1" x14ac:dyDescent="0.3"/>
    <row r="115" ht="16.95" customHeight="1" x14ac:dyDescent="0.3"/>
    <row r="116" ht="16.95" customHeight="1" x14ac:dyDescent="0.3"/>
    <row r="117" ht="16.95" customHeight="1" x14ac:dyDescent="0.3"/>
    <row r="118" ht="16.95" customHeight="1" x14ac:dyDescent="0.3"/>
    <row r="119" ht="16.95" customHeight="1" x14ac:dyDescent="0.3"/>
    <row r="120" ht="16.95" customHeight="1" x14ac:dyDescent="0.3"/>
    <row r="121" ht="16.95" customHeight="1" x14ac:dyDescent="0.3"/>
    <row r="122" ht="16.95" customHeight="1" x14ac:dyDescent="0.3"/>
    <row r="123" ht="16.95" customHeight="1" x14ac:dyDescent="0.3"/>
    <row r="124" ht="16.95" customHeight="1" x14ac:dyDescent="0.3"/>
    <row r="125" ht="16.95" customHeight="1" x14ac:dyDescent="0.3"/>
    <row r="126" ht="16.95" customHeight="1" x14ac:dyDescent="0.3"/>
    <row r="127" ht="16.95" customHeight="1" x14ac:dyDescent="0.3"/>
    <row r="128" ht="16.95" customHeight="1" x14ac:dyDescent="0.3"/>
    <row r="129" ht="16.95" customHeight="1" x14ac:dyDescent="0.3"/>
    <row r="130" ht="16.95" customHeight="1" x14ac:dyDescent="0.3"/>
    <row r="131" ht="16.95" customHeight="1" x14ac:dyDescent="0.3"/>
    <row r="132" ht="16.95" customHeight="1" x14ac:dyDescent="0.3"/>
    <row r="133" ht="16.95" customHeight="1" x14ac:dyDescent="0.3"/>
    <row r="134" ht="16.95" customHeight="1" x14ac:dyDescent="0.3"/>
    <row r="135" ht="16.95" customHeight="1" x14ac:dyDescent="0.3"/>
    <row r="136" ht="16.95" customHeight="1" x14ac:dyDescent="0.3"/>
    <row r="137" ht="16.95" customHeight="1" x14ac:dyDescent="0.3"/>
    <row r="138" ht="16.95" customHeight="1" x14ac:dyDescent="0.3"/>
    <row r="139" ht="16.95" customHeight="1" x14ac:dyDescent="0.3"/>
    <row r="140" ht="16.95" customHeight="1" x14ac:dyDescent="0.3"/>
    <row r="141" ht="16.95" customHeight="1" x14ac:dyDescent="0.3"/>
    <row r="142" ht="16.95" customHeight="1" x14ac:dyDescent="0.3"/>
    <row r="143" ht="16.95" customHeight="1" x14ac:dyDescent="0.3"/>
    <row r="144" ht="16.95" customHeight="1" x14ac:dyDescent="0.3"/>
    <row r="145" ht="16.95" customHeight="1" x14ac:dyDescent="0.3"/>
    <row r="146" ht="16.95" customHeight="1" x14ac:dyDescent="0.3"/>
    <row r="147" ht="16.95" customHeight="1" x14ac:dyDescent="0.3"/>
    <row r="148" ht="16.95" customHeight="1" x14ac:dyDescent="0.3"/>
    <row r="149" ht="16.95" customHeight="1" x14ac:dyDescent="0.3"/>
    <row r="150" ht="16.95" customHeight="1" x14ac:dyDescent="0.3"/>
    <row r="151" ht="16.95" customHeight="1" x14ac:dyDescent="0.3"/>
    <row r="152" ht="16.95" customHeight="1" x14ac:dyDescent="0.3"/>
    <row r="153" ht="16.95" customHeight="1" x14ac:dyDescent="0.3"/>
    <row r="154" ht="16.95" customHeight="1" x14ac:dyDescent="0.3"/>
    <row r="155" ht="16.95" customHeight="1" x14ac:dyDescent="0.3"/>
    <row r="156" ht="16.95" customHeight="1" x14ac:dyDescent="0.3"/>
    <row r="157" ht="16.95" customHeight="1" x14ac:dyDescent="0.3"/>
    <row r="158" ht="16.95" customHeight="1" x14ac:dyDescent="0.3"/>
    <row r="159" ht="16.95" customHeight="1" x14ac:dyDescent="0.3"/>
    <row r="160" ht="16.95" customHeight="1" x14ac:dyDescent="0.3"/>
    <row r="161" ht="16.95" customHeight="1" x14ac:dyDescent="0.3"/>
    <row r="162" ht="16.95" customHeight="1" x14ac:dyDescent="0.3"/>
    <row r="163" ht="16.95" customHeight="1" x14ac:dyDescent="0.3"/>
    <row r="164" ht="16.95" customHeight="1" x14ac:dyDescent="0.3"/>
    <row r="165" ht="16.95" customHeight="1" x14ac:dyDescent="0.3"/>
    <row r="166" ht="16.95" customHeight="1" x14ac:dyDescent="0.3"/>
    <row r="167" ht="16.95" customHeight="1" x14ac:dyDescent="0.3"/>
    <row r="168" ht="16.95" customHeight="1" x14ac:dyDescent="0.3"/>
    <row r="169" ht="16.95" customHeight="1" x14ac:dyDescent="0.3"/>
    <row r="170" ht="16.95" customHeight="1" x14ac:dyDescent="0.3"/>
    <row r="171" ht="16.95" customHeight="1" x14ac:dyDescent="0.3"/>
    <row r="172" ht="16.95" customHeight="1" x14ac:dyDescent="0.3"/>
    <row r="173" ht="16.95" customHeight="1" x14ac:dyDescent="0.3"/>
    <row r="174" ht="16.95" customHeight="1" x14ac:dyDescent="0.3"/>
    <row r="175" ht="16.95" customHeight="1" x14ac:dyDescent="0.3"/>
    <row r="176" ht="16.95" customHeight="1" x14ac:dyDescent="0.3"/>
    <row r="177" ht="16.95" customHeight="1" x14ac:dyDescent="0.3"/>
    <row r="178" ht="16.95" customHeight="1" x14ac:dyDescent="0.3"/>
    <row r="179" ht="16.95" customHeight="1" x14ac:dyDescent="0.3"/>
    <row r="180" ht="16.95" customHeight="1" x14ac:dyDescent="0.3"/>
    <row r="181" ht="16.95" customHeight="1" x14ac:dyDescent="0.3"/>
    <row r="182" ht="16.95" customHeight="1" x14ac:dyDescent="0.3"/>
    <row r="183" ht="16.95" customHeight="1" x14ac:dyDescent="0.3"/>
    <row r="184" ht="16.95" customHeight="1" x14ac:dyDescent="0.3"/>
    <row r="185" ht="16.95" customHeight="1" x14ac:dyDescent="0.3"/>
    <row r="186" ht="16.95" customHeight="1" x14ac:dyDescent="0.3"/>
    <row r="187" ht="16.95" customHeight="1" x14ac:dyDescent="0.3"/>
    <row r="188" ht="16.95" customHeight="1" x14ac:dyDescent="0.3"/>
    <row r="189" ht="16.95" customHeight="1" x14ac:dyDescent="0.3"/>
    <row r="190" ht="16.95" customHeight="1" x14ac:dyDescent="0.3"/>
    <row r="191" ht="16.95" customHeight="1" x14ac:dyDescent="0.3"/>
    <row r="192" ht="16.95" customHeight="1" x14ac:dyDescent="0.3"/>
    <row r="193" ht="16.95" customHeight="1" x14ac:dyDescent="0.3"/>
    <row r="194" ht="16.95" customHeight="1" x14ac:dyDescent="0.3"/>
    <row r="195" ht="16.95" customHeight="1" x14ac:dyDescent="0.3"/>
    <row r="196" ht="16.95" customHeight="1" x14ac:dyDescent="0.3"/>
    <row r="197" ht="16.95" customHeight="1" x14ac:dyDescent="0.3"/>
    <row r="198" ht="16.95" customHeight="1" x14ac:dyDescent="0.3"/>
    <row r="199" ht="16.95" customHeight="1" x14ac:dyDescent="0.3"/>
    <row r="200" ht="16.95" customHeight="1" x14ac:dyDescent="0.3"/>
    <row r="201" ht="16.95" customHeight="1" x14ac:dyDescent="0.3"/>
    <row r="202" ht="16.95" customHeight="1" x14ac:dyDescent="0.3"/>
    <row r="203" ht="16.95" customHeight="1" x14ac:dyDescent="0.3"/>
    <row r="204" ht="16.95" customHeight="1" x14ac:dyDescent="0.3"/>
    <row r="205" ht="16.95" customHeight="1" x14ac:dyDescent="0.3"/>
    <row r="206" ht="16.95" customHeight="1" x14ac:dyDescent="0.3"/>
    <row r="207" ht="16.95" customHeight="1" x14ac:dyDescent="0.3"/>
    <row r="208" ht="16.95" customHeight="1" x14ac:dyDescent="0.3"/>
    <row r="209" ht="16.95" customHeight="1" x14ac:dyDescent="0.3"/>
    <row r="210" ht="16.95" customHeight="1" x14ac:dyDescent="0.3"/>
    <row r="211" ht="16.95" customHeight="1" x14ac:dyDescent="0.3"/>
    <row r="212" ht="16.95" customHeight="1" x14ac:dyDescent="0.3"/>
    <row r="213" ht="16.95" customHeight="1" x14ac:dyDescent="0.3"/>
    <row r="214" ht="16.95" customHeight="1" x14ac:dyDescent="0.3"/>
    <row r="215" ht="16.95" customHeight="1" x14ac:dyDescent="0.3"/>
    <row r="216" ht="16.95" customHeight="1" x14ac:dyDescent="0.3"/>
    <row r="217" ht="16.95" customHeight="1" x14ac:dyDescent="0.3"/>
    <row r="218" ht="16.95" customHeight="1" x14ac:dyDescent="0.3"/>
    <row r="219" ht="16.95" customHeight="1" x14ac:dyDescent="0.3"/>
    <row r="220" ht="16.95" customHeight="1" x14ac:dyDescent="0.3"/>
    <row r="221" ht="16.95" customHeight="1" x14ac:dyDescent="0.3"/>
    <row r="222" ht="16.95" customHeight="1" x14ac:dyDescent="0.3"/>
    <row r="223" ht="16.95" customHeight="1" x14ac:dyDescent="0.3"/>
    <row r="224" ht="16.95" customHeight="1" x14ac:dyDescent="0.3"/>
    <row r="225" ht="16.95" customHeight="1" x14ac:dyDescent="0.3"/>
    <row r="226" ht="16.95" customHeight="1" x14ac:dyDescent="0.3"/>
    <row r="227" ht="16.95" customHeight="1" x14ac:dyDescent="0.3"/>
    <row r="228" ht="16.95" customHeight="1" x14ac:dyDescent="0.3"/>
    <row r="229" ht="16.95" customHeight="1" x14ac:dyDescent="0.3"/>
    <row r="230" ht="16.95" customHeight="1" x14ac:dyDescent="0.3"/>
    <row r="231" ht="16.95" customHeight="1" x14ac:dyDescent="0.3"/>
    <row r="232" ht="16.95" customHeight="1" x14ac:dyDescent="0.3"/>
    <row r="233" ht="16.95" customHeight="1" x14ac:dyDescent="0.3"/>
    <row r="234" ht="16.95" customHeight="1" x14ac:dyDescent="0.3"/>
    <row r="235" ht="16.95" customHeight="1" x14ac:dyDescent="0.3"/>
    <row r="236" ht="16.95" customHeight="1" x14ac:dyDescent="0.3"/>
    <row r="237" ht="16.95" customHeight="1" x14ac:dyDescent="0.3"/>
    <row r="238" ht="16.95" customHeight="1" x14ac:dyDescent="0.3"/>
    <row r="239" ht="16.95" customHeight="1" x14ac:dyDescent="0.3"/>
    <row r="240" ht="16.95" customHeight="1" x14ac:dyDescent="0.3"/>
    <row r="241" ht="16.95" customHeight="1" x14ac:dyDescent="0.3"/>
    <row r="242" ht="16.95" customHeight="1" x14ac:dyDescent="0.3"/>
    <row r="243" ht="16.95" customHeight="1" x14ac:dyDescent="0.3"/>
    <row r="244" ht="16.95" customHeight="1" x14ac:dyDescent="0.3"/>
    <row r="245" ht="16.95" customHeight="1" x14ac:dyDescent="0.3"/>
    <row r="246" ht="16.95" customHeight="1" x14ac:dyDescent="0.3"/>
    <row r="247" ht="16.95" customHeight="1" x14ac:dyDescent="0.3"/>
    <row r="248" ht="16.95" customHeight="1" x14ac:dyDescent="0.3"/>
    <row r="249" ht="16.95" customHeight="1" x14ac:dyDescent="0.3"/>
    <row r="250" ht="16.95" customHeight="1" x14ac:dyDescent="0.3"/>
    <row r="251" ht="16.95" customHeight="1" x14ac:dyDescent="0.3"/>
    <row r="252" ht="16.95" customHeight="1" x14ac:dyDescent="0.3"/>
    <row r="253" ht="16.95" customHeight="1" x14ac:dyDescent="0.3"/>
    <row r="254" ht="16.95" customHeight="1" x14ac:dyDescent="0.3"/>
    <row r="255" ht="16.95" customHeight="1" x14ac:dyDescent="0.3"/>
    <row r="256" ht="16.95" customHeight="1" x14ac:dyDescent="0.3"/>
    <row r="257" ht="16.95" customHeight="1" x14ac:dyDescent="0.3"/>
    <row r="258" ht="16.95" customHeight="1" x14ac:dyDescent="0.3"/>
    <row r="259" ht="16.95" customHeight="1" x14ac:dyDescent="0.3"/>
    <row r="260" ht="16.95" customHeight="1" x14ac:dyDescent="0.3"/>
    <row r="261" ht="16.95" customHeight="1" x14ac:dyDescent="0.3"/>
    <row r="262" ht="16.95" customHeight="1" x14ac:dyDescent="0.3"/>
    <row r="263" ht="16.95" customHeight="1" x14ac:dyDescent="0.3"/>
    <row r="264" ht="16.95" customHeight="1" x14ac:dyDescent="0.3"/>
    <row r="265" ht="16.95" customHeight="1" x14ac:dyDescent="0.3"/>
    <row r="266" ht="16.95" customHeight="1" x14ac:dyDescent="0.3"/>
    <row r="267" ht="16.95" customHeight="1" x14ac:dyDescent="0.3"/>
    <row r="268" ht="16.95" customHeight="1" x14ac:dyDescent="0.3"/>
    <row r="269" ht="16.95" customHeight="1" x14ac:dyDescent="0.3"/>
    <row r="270" ht="16.95" customHeight="1" x14ac:dyDescent="0.3"/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100B-199D-4B8F-A981-10D8932490E2}">
  <sheetPr codeName="Hoja2">
    <tabColor theme="5"/>
  </sheetPr>
  <dimension ref="A1:O22"/>
  <sheetViews>
    <sheetView showGridLines="0" zoomScaleNormal="100" workbookViewId="0">
      <selection activeCell="D22" sqref="D22"/>
    </sheetView>
  </sheetViews>
  <sheetFormatPr baseColWidth="10" defaultRowHeight="14.4" x14ac:dyDescent="0.3"/>
  <cols>
    <col min="1" max="1" width="46" style="21" customWidth="1"/>
    <col min="2" max="2" width="26.33203125" style="21" customWidth="1"/>
    <col min="3" max="3" width="7.77734375" style="21" customWidth="1"/>
    <col min="4" max="4" width="26.44140625" style="21" customWidth="1"/>
    <col min="5" max="5" width="7.77734375" style="21" customWidth="1"/>
    <col min="6" max="6" width="20.33203125" style="21" customWidth="1"/>
    <col min="7" max="7" width="34.33203125" style="21" customWidth="1"/>
    <col min="8" max="16384" width="11.5546875" style="21"/>
  </cols>
  <sheetData>
    <row r="1" spans="1:15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1:15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5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</row>
    <row r="4" spans="1:15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</row>
    <row r="5" spans="1:15" ht="15" thickBot="1" x14ac:dyDescent="0.35"/>
    <row r="6" spans="1:15" ht="15" thickBot="1" x14ac:dyDescent="0.35">
      <c r="D6" s="22" t="s">
        <v>85</v>
      </c>
      <c r="G6" s="23" t="s">
        <v>72</v>
      </c>
      <c r="H6" s="33" cm="1">
        <f t="array" ref="H6">MAX(ESTADOS[ID PRESTAMO]+1)</f>
        <v>5</v>
      </c>
    </row>
    <row r="7" spans="1:15" ht="18" customHeight="1" thickBot="1" x14ac:dyDescent="0.35">
      <c r="B7" s="24" t="s">
        <v>6</v>
      </c>
      <c r="D7" s="25" t="str">
        <f>VLOOKUP(D6,CLIENTES[],2,FALSE)</f>
        <v>DAVID ZELAYA</v>
      </c>
      <c r="F7" s="32">
        <f>D9*D13</f>
        <v>250</v>
      </c>
    </row>
    <row r="8" spans="1:15" ht="9" customHeight="1" thickBot="1" x14ac:dyDescent="0.35">
      <c r="B8" s="24"/>
    </row>
    <row r="9" spans="1:15" ht="18" customHeight="1" thickBot="1" x14ac:dyDescent="0.35">
      <c r="B9" s="24" t="s">
        <v>14</v>
      </c>
      <c r="D9" s="26">
        <v>5000</v>
      </c>
    </row>
    <row r="10" spans="1:15" ht="9" customHeight="1" thickBot="1" x14ac:dyDescent="0.35">
      <c r="B10" s="24"/>
    </row>
    <row r="11" spans="1:15" ht="18" customHeight="1" thickBot="1" x14ac:dyDescent="0.35">
      <c r="B11" s="24" t="s">
        <v>7</v>
      </c>
      <c r="D11" s="27" t="s">
        <v>53</v>
      </c>
      <c r="G11" s="28"/>
      <c r="H11" s="28"/>
    </row>
    <row r="12" spans="1:15" ht="9" customHeight="1" thickBot="1" x14ac:dyDescent="0.35">
      <c r="B12" s="24"/>
    </row>
    <row r="13" spans="1:15" ht="18" customHeight="1" thickBot="1" x14ac:dyDescent="0.35">
      <c r="B13" s="24" t="s">
        <v>15</v>
      </c>
      <c r="D13" s="29">
        <v>0.05</v>
      </c>
    </row>
    <row r="14" spans="1:15" ht="9" customHeight="1" thickBot="1" x14ac:dyDescent="0.35">
      <c r="B14" s="24"/>
    </row>
    <row r="15" spans="1:15" ht="18" customHeight="1" thickBot="1" x14ac:dyDescent="0.35">
      <c r="B15" s="24" t="s">
        <v>16</v>
      </c>
      <c r="D15" s="30">
        <v>4</v>
      </c>
    </row>
    <row r="16" spans="1:15" ht="9" customHeight="1" thickBot="1" x14ac:dyDescent="0.35">
      <c r="B16" s="24"/>
    </row>
    <row r="17" spans="2:8" ht="18" customHeight="1" thickBot="1" x14ac:dyDescent="0.35">
      <c r="B17" s="24" t="s">
        <v>17</v>
      </c>
      <c r="D17" s="32">
        <f>(D9/D15)+(F7/D15)</f>
        <v>1312.5</v>
      </c>
      <c r="H17" s="28"/>
    </row>
    <row r="18" spans="2:8" ht="9" customHeight="1" thickBot="1" x14ac:dyDescent="0.35">
      <c r="B18" s="24"/>
    </row>
    <row r="19" spans="2:8" ht="18" customHeight="1" thickBot="1" x14ac:dyDescent="0.35">
      <c r="B19" s="24" t="s">
        <v>18</v>
      </c>
      <c r="D19" s="32">
        <f>D17*D15</f>
        <v>5250</v>
      </c>
      <c r="F19" s="21" t="s">
        <v>57</v>
      </c>
      <c r="H19" s="28"/>
    </row>
    <row r="20" spans="2:8" ht="9" customHeight="1" thickBot="1" x14ac:dyDescent="0.35">
      <c r="B20" s="24"/>
    </row>
    <row r="21" spans="2:8" ht="18" customHeight="1" thickBot="1" x14ac:dyDescent="0.35">
      <c r="B21" s="24" t="s">
        <v>19</v>
      </c>
      <c r="D21" s="31">
        <v>45814</v>
      </c>
    </row>
    <row r="22" spans="2:8" ht="9" customHeight="1" x14ac:dyDescent="0.3"/>
  </sheetData>
  <sheetProtection sheet="1" objects="1" scenarios="1"/>
  <mergeCells count="1">
    <mergeCell ref="A1:O4"/>
  </mergeCells>
  <dataValidations count="2">
    <dataValidation type="list" allowBlank="1" showInputMessage="1" showErrorMessage="1" sqref="D11" xr:uid="{8BB84D3E-E51B-4E23-AA39-32C1EA954141}">
      <formula1>modalidad</formula1>
    </dataValidation>
    <dataValidation type="list" allowBlank="1" showInputMessage="1" showErrorMessage="1" sqref="D15" xr:uid="{94CF98B1-AD54-46AE-8270-200CB70932AA}">
      <formula1>cuotas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FB721-22BF-4942-B966-DCD86A337EB4}">
  <sheetPr codeName="Hoja3">
    <tabColor rgb="FF00B050"/>
  </sheetPr>
  <dimension ref="B1:L275"/>
  <sheetViews>
    <sheetView zoomScale="90" zoomScaleNormal="90" workbookViewId="0">
      <selection activeCell="B5" sqref="B5:L5"/>
    </sheetView>
  </sheetViews>
  <sheetFormatPr baseColWidth="10" defaultRowHeight="14.4" x14ac:dyDescent="0.3"/>
  <cols>
    <col min="2" max="2" width="17.44140625" customWidth="1"/>
    <col min="3" max="3" width="25.77734375" customWidth="1"/>
    <col min="4" max="4" width="13.5546875" customWidth="1"/>
    <col min="5" max="5" width="15.77734375" customWidth="1"/>
    <col min="6" max="6" width="18.77734375" customWidth="1"/>
    <col min="7" max="8" width="20.77734375" customWidth="1"/>
    <col min="9" max="9" width="16.33203125" customWidth="1"/>
    <col min="10" max="10" width="12.77734375" customWidth="1"/>
    <col min="11" max="11" width="16.21875" bestFit="1" customWidth="1"/>
    <col min="12" max="12" width="13.5546875" customWidth="1"/>
  </cols>
  <sheetData>
    <row r="1" spans="2:12" ht="15" thickBot="1" x14ac:dyDescent="0.35">
      <c r="B1" s="15" t="s">
        <v>68</v>
      </c>
      <c r="C1" s="16">
        <f ca="1">TODAY()</f>
        <v>45814</v>
      </c>
    </row>
    <row r="4" spans="2:12" x14ac:dyDescent="0.3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  <c r="G4" s="3" t="s">
        <v>10</v>
      </c>
      <c r="H4" s="3" t="s">
        <v>11</v>
      </c>
      <c r="I4" s="3" t="s">
        <v>58</v>
      </c>
      <c r="J4" s="3" t="s">
        <v>12</v>
      </c>
      <c r="K4" s="3" t="s">
        <v>13</v>
      </c>
      <c r="L4" s="3" t="s">
        <v>63</v>
      </c>
    </row>
    <row r="5" spans="2:12" x14ac:dyDescent="0.3">
      <c r="B5" s="6" t="s">
        <v>85</v>
      </c>
      <c r="C5" s="6" t="str">
        <f>VLOOKUP(ESTADOS[[#This Row],[COD_CLIENTE]],CLIENTES[],2,FALSE)</f>
        <v>DAVID ZELAYA</v>
      </c>
      <c r="D5" s="6" t="s">
        <v>53</v>
      </c>
      <c r="E5" s="6" t="s">
        <v>76</v>
      </c>
      <c r="F5" s="7">
        <v>45936</v>
      </c>
      <c r="G5" s="6">
        <v>1312.5</v>
      </c>
      <c r="H5" s="6"/>
      <c r="I5" s="6" t="str">
        <f ca="1">IF(ISNUMBER(H5),"PAGADO",IF(ESTADOS[[#This Row],[FECHA_VENCE]]&gt;$C$1,"PENDIENTE",IF(ESTADOS[[#This Row],[FECHA_VENCE]]&lt;$C$1,"VENCIDO")))</f>
        <v>PENDIENTE</v>
      </c>
      <c r="J5" s="6" t="str">
        <f ca="1">IF(ESTADOS[[#This Row],[ESTADO]]="PAGADO","0",IF(ESTADOS[[#This Row],[FECHA_VENCE]]&lt;$C$1,ESTADOS[[#This Row],[FECHA_VENCE]]-$C$1,"0"))</f>
        <v>0</v>
      </c>
      <c r="K5" s="6" t="str">
        <f ca="1">IF(ESTADOS[[#This Row],[ESTADO]]="PAGADO","",IF(ESTADOS[[#This Row],[DIAS MORA]]&lt;=-7,"&gt;7 Días de Retraso",""))</f>
        <v/>
      </c>
      <c r="L5" s="6">
        <v>4</v>
      </c>
    </row>
    <row r="6" spans="2:12" x14ac:dyDescent="0.3">
      <c r="B6" s="6" t="s">
        <v>85</v>
      </c>
      <c r="C6" s="6" t="str">
        <f>VLOOKUP(ESTADOS[[#This Row],[COD_CLIENTE]],CLIENTES[],2,FALSE)</f>
        <v>DAVID ZELAYA</v>
      </c>
      <c r="D6" s="6" t="s">
        <v>53</v>
      </c>
      <c r="E6" s="6" t="s">
        <v>75</v>
      </c>
      <c r="F6" s="7">
        <v>45906</v>
      </c>
      <c r="G6" s="6">
        <v>1312.5</v>
      </c>
      <c r="H6" s="6"/>
      <c r="I6" s="6" t="str">
        <f ca="1">IF(ISNUMBER(H6),"PAGADO",IF(ESTADOS[[#This Row],[FECHA_VENCE]]&gt;$C$1,"PENDIENTE",IF(ESTADOS[[#This Row],[FECHA_VENCE]]&lt;$C$1,"VENCIDO")))</f>
        <v>PENDIENTE</v>
      </c>
      <c r="J6" s="6" t="str">
        <f ca="1">IF(ESTADOS[[#This Row],[ESTADO]]="PAGADO","0",IF(ESTADOS[[#This Row],[FECHA_VENCE]]&lt;$C$1,ESTADOS[[#This Row],[FECHA_VENCE]]-$C$1,"0"))</f>
        <v>0</v>
      </c>
      <c r="K6" s="6" t="str">
        <f ca="1">IF(ESTADOS[[#This Row],[ESTADO]]="PAGADO","",IF(ESTADOS[[#This Row],[DIAS MORA]]&lt;=-7,"&gt;7 Días de Retraso",""))</f>
        <v/>
      </c>
      <c r="L6" s="6">
        <v>4</v>
      </c>
    </row>
    <row r="7" spans="2:12" x14ac:dyDescent="0.3">
      <c r="B7" s="6" t="s">
        <v>85</v>
      </c>
      <c r="C7" s="6" t="str">
        <f>VLOOKUP(ESTADOS[[#This Row],[COD_CLIENTE]],CLIENTES[],2,FALSE)</f>
        <v>DAVID ZELAYA</v>
      </c>
      <c r="D7" s="6" t="s">
        <v>53</v>
      </c>
      <c r="E7" s="6" t="s">
        <v>74</v>
      </c>
      <c r="F7" s="7">
        <v>45875</v>
      </c>
      <c r="G7" s="6">
        <v>1312.5</v>
      </c>
      <c r="H7" s="6"/>
      <c r="I7" s="6" t="str">
        <f ca="1">IF(ISNUMBER(H7),"PAGADO",IF(ESTADOS[[#This Row],[FECHA_VENCE]]&gt;$C$1,"PENDIENTE",IF(ESTADOS[[#This Row],[FECHA_VENCE]]&lt;$C$1,"VENCIDO")))</f>
        <v>PENDIENTE</v>
      </c>
      <c r="J7" s="6" t="str">
        <f ca="1">IF(ESTADOS[[#This Row],[ESTADO]]="PAGADO","0",IF(ESTADOS[[#This Row],[FECHA_VENCE]]&lt;$C$1,ESTADOS[[#This Row],[FECHA_VENCE]]-$C$1,"0"))</f>
        <v>0</v>
      </c>
      <c r="K7" s="6" t="str">
        <f ca="1">IF(ESTADOS[[#This Row],[ESTADO]]="PAGADO","",IF(ESTADOS[[#This Row],[DIAS MORA]]&lt;=-7,"&gt;7 Días de Retraso",""))</f>
        <v/>
      </c>
      <c r="L7" s="6">
        <v>4</v>
      </c>
    </row>
    <row r="8" spans="2:12" ht="15" thickBot="1" x14ac:dyDescent="0.35">
      <c r="B8" s="34" t="s">
        <v>85</v>
      </c>
      <c r="C8" s="34" t="str">
        <f>VLOOKUP(ESTADOS[[#This Row],[COD_CLIENTE]],CLIENTES[],2,FALSE)</f>
        <v>DAVID ZELAYA</v>
      </c>
      <c r="D8" s="34" t="s">
        <v>53</v>
      </c>
      <c r="E8" s="34" t="s">
        <v>73</v>
      </c>
      <c r="F8" s="35">
        <v>45844</v>
      </c>
      <c r="G8" s="34">
        <v>1312.5</v>
      </c>
      <c r="H8" s="34"/>
      <c r="I8" s="34" t="str">
        <f ca="1">IF(ISNUMBER(H8),"PAGADO",IF(ESTADOS[[#This Row],[FECHA_VENCE]]&gt;$C$1,"PENDIENTE",IF(ESTADOS[[#This Row],[FECHA_VENCE]]&lt;$C$1,"VENCIDO")))</f>
        <v>PENDIENTE</v>
      </c>
      <c r="J8" s="34" t="str">
        <f ca="1">IF(ESTADOS[[#This Row],[ESTADO]]="PAGADO","0",IF(ESTADOS[[#This Row],[FECHA_VENCE]]&lt;$C$1,ESTADOS[[#This Row],[FECHA_VENCE]]-$C$1,"0"))</f>
        <v>0</v>
      </c>
      <c r="K8" s="34" t="str">
        <f ca="1">IF(ESTADOS[[#This Row],[ESTADO]]="PAGADO","",IF(ESTADOS[[#This Row],[DIAS MORA]]&lt;=-7,"&gt;7 Días de Retraso",""))</f>
        <v/>
      </c>
      <c r="L8" s="34">
        <v>4</v>
      </c>
    </row>
    <row r="9" spans="2:12" x14ac:dyDescent="0.3">
      <c r="B9" s="6" t="s">
        <v>59</v>
      </c>
      <c r="C9" s="6" t="str">
        <f>VLOOKUP(ESTADOS[[#This Row],[COD_CLIENTE]],CLIENTES[],2,FALSE)</f>
        <v>JULIO PONCE</v>
      </c>
      <c r="D9" s="6" t="s">
        <v>54</v>
      </c>
      <c r="E9" s="6" t="s">
        <v>79</v>
      </c>
      <c r="F9" s="7">
        <v>45813</v>
      </c>
      <c r="G9" s="6">
        <v>985.71428571428567</v>
      </c>
      <c r="H9" s="6"/>
      <c r="I9" s="6" t="str">
        <f ca="1">IF(ISNUMBER(H9),"PAGADO",IF(ESTADOS[[#This Row],[FECHA_VENCE]]&gt;$C$1,"PENDIENTE",IF(ESTADOS[[#This Row],[FECHA_VENCE]]&lt;$C$1,"VENCIDO")))</f>
        <v>VENCIDO</v>
      </c>
      <c r="J9" s="6">
        <f ca="1">IF(ESTADOS[[#This Row],[ESTADO]]="PAGADO","0",IF(ESTADOS[[#This Row],[FECHA_VENCE]]&lt;$C$1,ESTADOS[[#This Row],[FECHA_VENCE]]-$C$1,"0"))</f>
        <v>-1</v>
      </c>
      <c r="K9" s="6" t="str">
        <f ca="1">IF(ESTADOS[[#This Row],[ESTADO]]="PAGADO","",IF(ESTADOS[[#This Row],[DIAS MORA]]&lt;=-7,"&gt;7 Días de Retraso",""))</f>
        <v/>
      </c>
      <c r="L9" s="6">
        <v>3</v>
      </c>
    </row>
    <row r="10" spans="2:12" x14ac:dyDescent="0.3">
      <c r="B10" s="6" t="s">
        <v>59</v>
      </c>
      <c r="C10" s="6" t="str">
        <f>VLOOKUP(ESTADOS[[#This Row],[COD_CLIENTE]],CLIENTES[],2,FALSE)</f>
        <v>JULIO PONCE</v>
      </c>
      <c r="D10" s="6" t="s">
        <v>54</v>
      </c>
      <c r="E10" s="6" t="s">
        <v>78</v>
      </c>
      <c r="F10" s="7">
        <v>45798</v>
      </c>
      <c r="G10" s="6">
        <v>985.71428571428567</v>
      </c>
      <c r="H10" s="6"/>
      <c r="I10" s="6" t="str">
        <f ca="1">IF(ISNUMBER(H10),"PAGADO",IF(ESTADOS[[#This Row],[FECHA_VENCE]]&gt;$C$1,"PENDIENTE",IF(ESTADOS[[#This Row],[FECHA_VENCE]]&lt;$C$1,"VENCIDO")))</f>
        <v>VENCIDO</v>
      </c>
      <c r="J10" s="6">
        <f ca="1">IF(ESTADOS[[#This Row],[ESTADO]]="PAGADO","0",IF(ESTADOS[[#This Row],[FECHA_VENCE]]&lt;$C$1,ESTADOS[[#This Row],[FECHA_VENCE]]-$C$1,"0"))</f>
        <v>-16</v>
      </c>
      <c r="K10" s="6" t="str">
        <f ca="1">IF(ESTADOS[[#This Row],[ESTADO]]="PAGADO","",IF(ESTADOS[[#This Row],[DIAS MORA]]&lt;=-7,"&gt;7 Días de Retraso",""))</f>
        <v>&gt;7 Días de Retraso</v>
      </c>
      <c r="L10" s="6">
        <v>3</v>
      </c>
    </row>
    <row r="11" spans="2:12" x14ac:dyDescent="0.3">
      <c r="B11" s="6" t="s">
        <v>59</v>
      </c>
      <c r="C11" s="6" t="str">
        <f>VLOOKUP(ESTADOS[[#This Row],[COD_CLIENTE]],CLIENTES[],2,FALSE)</f>
        <v>JULIO PONCE</v>
      </c>
      <c r="D11" s="6" t="s">
        <v>54</v>
      </c>
      <c r="E11" s="6" t="s">
        <v>77</v>
      </c>
      <c r="F11" s="7">
        <v>45783</v>
      </c>
      <c r="G11" s="6">
        <v>985.71428571428567</v>
      </c>
      <c r="H11" s="7">
        <v>45783</v>
      </c>
      <c r="I11" s="6" t="str">
        <f>IF(ISNUMBER(H11),"PAGADO",IF(ESTADOS[[#This Row],[FECHA_VENCE]]&gt;$C$1,"PENDIENTE",IF(ESTADOS[[#This Row],[FECHA_VENCE]]&lt;$C$1,"VENCIDO")))</f>
        <v>PAGADO</v>
      </c>
      <c r="J11" s="6" t="str">
        <f>IF(ESTADOS[[#This Row],[ESTADO]]="PAGADO","0",IF(ESTADOS[[#This Row],[FECHA_VENCE]]&lt;$C$1,ESTADOS[[#This Row],[FECHA_VENCE]]-$C$1,"0"))</f>
        <v>0</v>
      </c>
      <c r="K11" s="6" t="str">
        <f>IF(ESTADOS[[#This Row],[ESTADO]]="PAGADO","",IF(ESTADOS[[#This Row],[DIAS MORA]]&lt;=-7,"&gt;7 Días de Retraso",""))</f>
        <v/>
      </c>
      <c r="L11" s="6">
        <v>3</v>
      </c>
    </row>
    <row r="12" spans="2:12" x14ac:dyDescent="0.3">
      <c r="B12" s="6" t="s">
        <v>59</v>
      </c>
      <c r="C12" s="6" t="str">
        <f>VLOOKUP(ESTADOS[[#This Row],[COD_CLIENTE]],CLIENTES[],2,FALSE)</f>
        <v>JULIO PONCE</v>
      </c>
      <c r="D12" s="6" t="s">
        <v>54</v>
      </c>
      <c r="E12" s="6" t="s">
        <v>76</v>
      </c>
      <c r="F12" s="7">
        <v>45768</v>
      </c>
      <c r="G12" s="6">
        <v>985.71428571428567</v>
      </c>
      <c r="H12" s="7">
        <v>45768</v>
      </c>
      <c r="I12" s="6" t="str">
        <f>IF(ISNUMBER(H12),"PAGADO",IF(ESTADOS[[#This Row],[FECHA_VENCE]]&gt;$C$1,"PENDIENTE",IF(ESTADOS[[#This Row],[FECHA_VENCE]]&lt;$C$1,"VENCIDO")))</f>
        <v>PAGADO</v>
      </c>
      <c r="J12" s="6" t="str">
        <f>IF(ESTADOS[[#This Row],[ESTADO]]="PAGADO","0",IF(ESTADOS[[#This Row],[FECHA_VENCE]]&lt;$C$1,ESTADOS[[#This Row],[FECHA_VENCE]]-$C$1,"0"))</f>
        <v>0</v>
      </c>
      <c r="K12" s="6" t="str">
        <f>IF(ESTADOS[[#This Row],[ESTADO]]="PAGADO","",IF(ESTADOS[[#This Row],[DIAS MORA]]&lt;=-7,"&gt;7 Días de Retraso",""))</f>
        <v/>
      </c>
      <c r="L12" s="6">
        <v>3</v>
      </c>
    </row>
    <row r="13" spans="2:12" x14ac:dyDescent="0.3">
      <c r="B13" s="6" t="s">
        <v>59</v>
      </c>
      <c r="C13" s="6" t="str">
        <f>VLOOKUP(ESTADOS[[#This Row],[COD_CLIENTE]],CLIENTES[],2,FALSE)</f>
        <v>JULIO PONCE</v>
      </c>
      <c r="D13" s="6" t="s">
        <v>54</v>
      </c>
      <c r="E13" s="6" t="s">
        <v>75</v>
      </c>
      <c r="F13" s="7">
        <v>45753</v>
      </c>
      <c r="G13" s="6">
        <v>985.71428571428567</v>
      </c>
      <c r="H13" s="7">
        <v>45753</v>
      </c>
      <c r="I13" s="6" t="str">
        <f>IF(ISNUMBER(H13),"PAGADO",IF(ESTADOS[[#This Row],[FECHA_VENCE]]&gt;$C$1,"PENDIENTE",IF(ESTADOS[[#This Row],[FECHA_VENCE]]&lt;$C$1,"VENCIDO")))</f>
        <v>PAGADO</v>
      </c>
      <c r="J13" s="6" t="str">
        <f>IF(ESTADOS[[#This Row],[ESTADO]]="PAGADO","0",IF(ESTADOS[[#This Row],[FECHA_VENCE]]&lt;$C$1,ESTADOS[[#This Row],[FECHA_VENCE]]-$C$1,"0"))</f>
        <v>0</v>
      </c>
      <c r="K13" s="6" t="str">
        <f>IF(ESTADOS[[#This Row],[ESTADO]]="PAGADO","",IF(ESTADOS[[#This Row],[DIAS MORA]]&lt;=-7,"&gt;7 Días de Retraso",""))</f>
        <v/>
      </c>
      <c r="L13" s="6">
        <v>3</v>
      </c>
    </row>
    <row r="14" spans="2:12" x14ac:dyDescent="0.3">
      <c r="B14" s="6" t="s">
        <v>59</v>
      </c>
      <c r="C14" s="6" t="str">
        <f>VLOOKUP(ESTADOS[[#This Row],[COD_CLIENTE]],CLIENTES[],2,FALSE)</f>
        <v>JULIO PONCE</v>
      </c>
      <c r="D14" s="6" t="s">
        <v>54</v>
      </c>
      <c r="E14" s="6" t="s">
        <v>74</v>
      </c>
      <c r="F14" s="7">
        <v>45738</v>
      </c>
      <c r="G14" s="6">
        <v>985.71428571428567</v>
      </c>
      <c r="H14" s="7">
        <v>45738</v>
      </c>
      <c r="I14" s="6" t="str">
        <f>IF(ISNUMBER(H14),"PAGADO",IF(ESTADOS[[#This Row],[FECHA_VENCE]]&gt;$C$1,"PENDIENTE",IF(ESTADOS[[#This Row],[FECHA_VENCE]]&lt;$C$1,"VENCIDO")))</f>
        <v>PAGADO</v>
      </c>
      <c r="J14" s="6" t="str">
        <f>IF(ESTADOS[[#This Row],[ESTADO]]="PAGADO","0",IF(ESTADOS[[#This Row],[FECHA_VENCE]]&lt;$C$1,ESTADOS[[#This Row],[FECHA_VENCE]]-$C$1,"0"))</f>
        <v>0</v>
      </c>
      <c r="K14" s="6" t="str">
        <f>IF(ESTADOS[[#This Row],[ESTADO]]="PAGADO","",IF(ESTADOS[[#This Row],[DIAS MORA]]&lt;=-7,"&gt;7 Días de Retraso",""))</f>
        <v/>
      </c>
      <c r="L14" s="6">
        <v>3</v>
      </c>
    </row>
    <row r="15" spans="2:12" ht="15" thickBot="1" x14ac:dyDescent="0.35">
      <c r="B15" s="34" t="s">
        <v>59</v>
      </c>
      <c r="C15" s="34" t="str">
        <f>VLOOKUP(ESTADOS[[#This Row],[COD_CLIENTE]],CLIENTES[],2,FALSE)</f>
        <v>JULIO PONCE</v>
      </c>
      <c r="D15" s="34" t="s">
        <v>54</v>
      </c>
      <c r="E15" s="34" t="s">
        <v>73</v>
      </c>
      <c r="F15" s="35">
        <v>45723</v>
      </c>
      <c r="G15" s="34">
        <v>985.71428571428567</v>
      </c>
      <c r="H15" s="35">
        <v>45723</v>
      </c>
      <c r="I15" s="34" t="str">
        <f>IF(ISNUMBER(H15),"PAGADO",IF(ESTADOS[[#This Row],[FECHA_VENCE]]&gt;$C$1,"PENDIENTE",IF(ESTADOS[[#This Row],[FECHA_VENCE]]&lt;$C$1,"VENCIDO")))</f>
        <v>PAGADO</v>
      </c>
      <c r="J15" s="34" t="str">
        <f>IF(ESTADOS[[#This Row],[ESTADO]]="PAGADO","0",IF(ESTADOS[[#This Row],[FECHA_VENCE]]&lt;$C$1,ESTADOS[[#This Row],[FECHA_VENCE]]-$C$1,"0"))</f>
        <v>0</v>
      </c>
      <c r="K15" s="34" t="str">
        <f>IF(ESTADOS[[#This Row],[ESTADO]]="PAGADO","",IF(ESTADOS[[#This Row],[DIAS MORA]]&lt;=-7,"&gt;7 Días de Retraso",""))</f>
        <v/>
      </c>
      <c r="L15" s="34">
        <v>3</v>
      </c>
    </row>
    <row r="16" spans="2:12" x14ac:dyDescent="0.3">
      <c r="B16" s="6" t="s">
        <v>49</v>
      </c>
      <c r="C16" s="6" t="str">
        <f>VLOOKUP(ESTADOS[[#This Row],[COD_CLIENTE]],CLIENTES[],2,FALSE)</f>
        <v>MARIO DAVILA</v>
      </c>
      <c r="D16" s="6" t="s">
        <v>55</v>
      </c>
      <c r="E16" s="6" t="s">
        <v>77</v>
      </c>
      <c r="F16" s="7">
        <v>45733</v>
      </c>
      <c r="G16" s="6">
        <v>1150</v>
      </c>
      <c r="H16" s="7">
        <v>45733</v>
      </c>
      <c r="I16" s="6" t="str">
        <f>IF(ISNUMBER(H16),"PAGADO",IF(ESTADOS[[#This Row],[FECHA_VENCE]]&gt;$C$1,"PENDIENTE",IF(ESTADOS[[#This Row],[FECHA_VENCE]]&lt;$C$1,"VENCIDO")))</f>
        <v>PAGADO</v>
      </c>
      <c r="J16" s="6" t="str">
        <f>IF(ESTADOS[[#This Row],[ESTADO]]="PAGADO","0",IF(ESTADOS[[#This Row],[FECHA_VENCE]]&lt;$C$1,ESTADOS[[#This Row],[FECHA_VENCE]]-$C$1,"0"))</f>
        <v>0</v>
      </c>
      <c r="K16" s="6" t="str">
        <f>IF(ESTADOS[[#This Row],[ESTADO]]="PAGADO","",IF(ESTADOS[[#This Row],[DIAS MORA]]&lt;=-7,"&gt;7 Días de Retraso",""))</f>
        <v/>
      </c>
      <c r="L16" s="6">
        <v>2</v>
      </c>
    </row>
    <row r="17" spans="2:12" x14ac:dyDescent="0.3">
      <c r="B17" s="6" t="s">
        <v>49</v>
      </c>
      <c r="C17" s="6" t="str">
        <f>VLOOKUP(ESTADOS[[#This Row],[COD_CLIENTE]],CLIENTES[],2,FALSE)</f>
        <v>MARIO DAVILA</v>
      </c>
      <c r="D17" s="6" t="s">
        <v>55</v>
      </c>
      <c r="E17" s="6" t="s">
        <v>76</v>
      </c>
      <c r="F17" s="7">
        <v>45726</v>
      </c>
      <c r="G17" s="6">
        <v>1150</v>
      </c>
      <c r="H17" s="7">
        <v>45726</v>
      </c>
      <c r="I17" s="6" t="str">
        <f>IF(ISNUMBER(H17),"PAGADO",IF(ESTADOS[[#This Row],[FECHA_VENCE]]&gt;$C$1,"PENDIENTE",IF(ESTADOS[[#This Row],[FECHA_VENCE]]&lt;$C$1,"VENCIDO")))</f>
        <v>PAGADO</v>
      </c>
      <c r="J17" s="6" t="str">
        <f>IF(ESTADOS[[#This Row],[ESTADO]]="PAGADO","0",IF(ESTADOS[[#This Row],[FECHA_VENCE]]&lt;$C$1,ESTADOS[[#This Row],[FECHA_VENCE]]-$C$1,"0"))</f>
        <v>0</v>
      </c>
      <c r="K17" s="6" t="str">
        <f>IF(ESTADOS[[#This Row],[ESTADO]]="PAGADO","",IF(ESTADOS[[#This Row],[DIAS MORA]]&lt;=-7,"&gt;7 Días de Retraso",""))</f>
        <v/>
      </c>
      <c r="L17" s="6">
        <v>2</v>
      </c>
    </row>
    <row r="18" spans="2:12" x14ac:dyDescent="0.3">
      <c r="B18" s="6" t="s">
        <v>49</v>
      </c>
      <c r="C18" s="6" t="str">
        <f>VLOOKUP(ESTADOS[[#This Row],[COD_CLIENTE]],CLIENTES[],2,FALSE)</f>
        <v>MARIO DAVILA</v>
      </c>
      <c r="D18" s="6" t="s">
        <v>55</v>
      </c>
      <c r="E18" s="6" t="s">
        <v>75</v>
      </c>
      <c r="F18" s="7">
        <v>45719</v>
      </c>
      <c r="G18" s="6">
        <v>1150</v>
      </c>
      <c r="H18" s="7">
        <v>45719</v>
      </c>
      <c r="I18" s="6" t="str">
        <f>IF(ISNUMBER(H18),"PAGADO",IF(ESTADOS[[#This Row],[FECHA_VENCE]]&gt;$C$1,"PENDIENTE",IF(ESTADOS[[#This Row],[FECHA_VENCE]]&lt;$C$1,"VENCIDO")))</f>
        <v>PAGADO</v>
      </c>
      <c r="J18" s="6" t="str">
        <f>IF(ESTADOS[[#This Row],[ESTADO]]="PAGADO","0",IF(ESTADOS[[#This Row],[FECHA_VENCE]]&lt;$C$1,ESTADOS[[#This Row],[FECHA_VENCE]]-$C$1,"0"))</f>
        <v>0</v>
      </c>
      <c r="K18" s="6" t="str">
        <f>IF(ESTADOS[[#This Row],[ESTADO]]="PAGADO","",IF(ESTADOS[[#This Row],[DIAS MORA]]&lt;=-7,"&gt;7 Días de Retraso",""))</f>
        <v/>
      </c>
      <c r="L18" s="6">
        <v>2</v>
      </c>
    </row>
    <row r="19" spans="2:12" x14ac:dyDescent="0.3">
      <c r="B19" s="6" t="s">
        <v>49</v>
      </c>
      <c r="C19" s="6" t="str">
        <f>VLOOKUP(ESTADOS[[#This Row],[COD_CLIENTE]],CLIENTES[],2,FALSE)</f>
        <v>MARIO DAVILA</v>
      </c>
      <c r="D19" s="6" t="s">
        <v>55</v>
      </c>
      <c r="E19" s="6" t="s">
        <v>74</v>
      </c>
      <c r="F19" s="7">
        <v>45712</v>
      </c>
      <c r="G19" s="6">
        <v>1150</v>
      </c>
      <c r="H19" s="7">
        <v>45712</v>
      </c>
      <c r="I19" s="6" t="str">
        <f>IF(ISNUMBER(H19),"PAGADO",IF(ESTADOS[[#This Row],[FECHA_VENCE]]&gt;$C$1,"PENDIENTE",IF(ESTADOS[[#This Row],[FECHA_VENCE]]&lt;$C$1,"VENCIDO")))</f>
        <v>PAGADO</v>
      </c>
      <c r="J19" s="6" t="str">
        <f>IF(ESTADOS[[#This Row],[ESTADO]]="PAGADO","0",IF(ESTADOS[[#This Row],[FECHA_VENCE]]&lt;$C$1,ESTADOS[[#This Row],[FECHA_VENCE]]-$C$1,"0"))</f>
        <v>0</v>
      </c>
      <c r="K19" s="6" t="str">
        <f>IF(ESTADOS[[#This Row],[ESTADO]]="PAGADO","",IF(ESTADOS[[#This Row],[DIAS MORA]]&lt;=-7,"&gt;7 Días de Retraso",""))</f>
        <v/>
      </c>
      <c r="L19" s="6">
        <v>2</v>
      </c>
    </row>
    <row r="20" spans="2:12" ht="15" thickBot="1" x14ac:dyDescent="0.35">
      <c r="B20" s="34" t="s">
        <v>49</v>
      </c>
      <c r="C20" s="34" t="str">
        <f>VLOOKUP(ESTADOS[[#This Row],[COD_CLIENTE]],CLIENTES[],2,FALSE)</f>
        <v>MARIO DAVILA</v>
      </c>
      <c r="D20" s="34" t="s">
        <v>55</v>
      </c>
      <c r="E20" s="34" t="s">
        <v>73</v>
      </c>
      <c r="F20" s="35">
        <v>45705</v>
      </c>
      <c r="G20" s="34">
        <v>1150</v>
      </c>
      <c r="H20" s="35">
        <v>45705</v>
      </c>
      <c r="I20" s="34" t="str">
        <f>IF(ISNUMBER(H20),"PAGADO",IF(ESTADOS[[#This Row],[FECHA_VENCE]]&gt;$C$1,"PENDIENTE",IF(ESTADOS[[#This Row],[FECHA_VENCE]]&lt;$C$1,"VENCIDO")))</f>
        <v>PAGADO</v>
      </c>
      <c r="J20" s="34" t="str">
        <f>IF(ESTADOS[[#This Row],[ESTADO]]="PAGADO","0",IF(ESTADOS[[#This Row],[FECHA_VENCE]]&lt;$C$1,ESTADOS[[#This Row],[FECHA_VENCE]]-$C$1,"0"))</f>
        <v>0</v>
      </c>
      <c r="K20" s="34" t="str">
        <f>IF(ESTADOS[[#This Row],[ESTADO]]="PAGADO","",IF(ESTADOS[[#This Row],[DIAS MORA]]&lt;=-7,"&gt;7 Días de Retraso",""))</f>
        <v/>
      </c>
      <c r="L20" s="34">
        <v>2</v>
      </c>
    </row>
    <row r="21" spans="2:12" x14ac:dyDescent="0.3">
      <c r="B21" s="6" t="s">
        <v>28</v>
      </c>
      <c r="C21" s="6" t="str">
        <f>VLOOKUP(ESTADOS[[#This Row],[COD_CLIENTE]],CLIENTES[],2,FALSE)</f>
        <v>JUAN CENTENO</v>
      </c>
      <c r="D21" s="6" t="s">
        <v>55</v>
      </c>
      <c r="E21" s="6" t="s">
        <v>82</v>
      </c>
      <c r="F21" s="7">
        <v>45787</v>
      </c>
      <c r="G21" s="6">
        <v>1150</v>
      </c>
      <c r="H21" s="6"/>
      <c r="I21" s="6" t="str">
        <f ca="1">IF(ISNUMBER(H21),"PAGADO",IF(ESTADOS[[#This Row],[FECHA_VENCE]]&gt;$C$1,"PENDIENTE",IF(ESTADOS[[#This Row],[FECHA_VENCE]]&lt;$C$1,"VENCIDO")))</f>
        <v>VENCIDO</v>
      </c>
      <c r="J21" s="6">
        <f ca="1">IF(ESTADOS[[#This Row],[ESTADO]]="PAGADO","0",IF(ESTADOS[[#This Row],[FECHA_VENCE]]&lt;$C$1,ESTADOS[[#This Row],[FECHA_VENCE]]-$C$1,"0"))</f>
        <v>-27</v>
      </c>
      <c r="K21" s="6" t="str">
        <f ca="1">IF(ESTADOS[[#This Row],[ESTADO]]="PAGADO","",IF(ESTADOS[[#This Row],[DIAS MORA]]&lt;=-7,"&gt;7 Días de Retraso",""))</f>
        <v>&gt;7 Días de Retraso</v>
      </c>
      <c r="L21" s="6">
        <v>1</v>
      </c>
    </row>
    <row r="22" spans="2:12" x14ac:dyDescent="0.3">
      <c r="B22" s="6" t="s">
        <v>28</v>
      </c>
      <c r="C22" s="6" t="str">
        <f>VLOOKUP(ESTADOS[[#This Row],[COD_CLIENTE]],CLIENTES[],2,FALSE)</f>
        <v>JUAN CENTENO</v>
      </c>
      <c r="D22" s="6" t="s">
        <v>55</v>
      </c>
      <c r="E22" s="6" t="s">
        <v>81</v>
      </c>
      <c r="F22" s="7">
        <v>45780</v>
      </c>
      <c r="G22" s="6">
        <v>1150</v>
      </c>
      <c r="H22" s="6"/>
      <c r="I22" s="6" t="str">
        <f ca="1">IF(ISNUMBER(H22),"PAGADO",IF(ESTADOS[[#This Row],[FECHA_VENCE]]&gt;$C$1,"PENDIENTE",IF(ESTADOS[[#This Row],[FECHA_VENCE]]&lt;$C$1,"VENCIDO")))</f>
        <v>VENCIDO</v>
      </c>
      <c r="J22" s="6">
        <f ca="1">IF(ESTADOS[[#This Row],[ESTADO]]="PAGADO","0",IF(ESTADOS[[#This Row],[FECHA_VENCE]]&lt;$C$1,ESTADOS[[#This Row],[FECHA_VENCE]]-$C$1,"0"))</f>
        <v>-34</v>
      </c>
      <c r="K22" s="6" t="str">
        <f ca="1">IF(ESTADOS[[#This Row],[ESTADO]]="PAGADO","",IF(ESTADOS[[#This Row],[DIAS MORA]]&lt;=-7,"&gt;7 Días de Retraso",""))</f>
        <v>&gt;7 Días de Retraso</v>
      </c>
      <c r="L22" s="6">
        <v>1</v>
      </c>
    </row>
    <row r="23" spans="2:12" x14ac:dyDescent="0.3">
      <c r="B23" s="6" t="s">
        <v>28</v>
      </c>
      <c r="C23" s="6" t="str">
        <f>VLOOKUP(ESTADOS[[#This Row],[COD_CLIENTE]],CLIENTES[],2,FALSE)</f>
        <v>JUAN CENTENO</v>
      </c>
      <c r="D23" s="6" t="s">
        <v>55</v>
      </c>
      <c r="E23" s="6" t="s">
        <v>80</v>
      </c>
      <c r="F23" s="7">
        <v>45773</v>
      </c>
      <c r="G23" s="6">
        <v>1150</v>
      </c>
      <c r="H23" s="6"/>
      <c r="I23" s="6" t="str">
        <f ca="1">IF(ISNUMBER(H23),"PAGADO",IF(ESTADOS[[#This Row],[FECHA_VENCE]]&gt;$C$1,"PENDIENTE",IF(ESTADOS[[#This Row],[FECHA_VENCE]]&lt;$C$1,"VENCIDO")))</f>
        <v>VENCIDO</v>
      </c>
      <c r="J23" s="6">
        <f ca="1">IF(ESTADOS[[#This Row],[ESTADO]]="PAGADO","0",IF(ESTADOS[[#This Row],[FECHA_VENCE]]&lt;$C$1,ESTADOS[[#This Row],[FECHA_VENCE]]-$C$1,"0"))</f>
        <v>-41</v>
      </c>
      <c r="K23" s="6" t="str">
        <f ca="1">IF(ESTADOS[[#This Row],[ESTADO]]="PAGADO","",IF(ESTADOS[[#This Row],[DIAS MORA]]&lt;=-7,"&gt;7 Días de Retraso",""))</f>
        <v>&gt;7 Días de Retraso</v>
      </c>
      <c r="L23" s="6">
        <v>1</v>
      </c>
    </row>
    <row r="24" spans="2:12" x14ac:dyDescent="0.3">
      <c r="B24" s="6" t="s">
        <v>28</v>
      </c>
      <c r="C24" s="6" t="str">
        <f>VLOOKUP(ESTADOS[[#This Row],[COD_CLIENTE]],CLIENTES[],2,FALSE)</f>
        <v>JUAN CENTENO</v>
      </c>
      <c r="D24" s="6" t="s">
        <v>55</v>
      </c>
      <c r="E24" s="6" t="s">
        <v>79</v>
      </c>
      <c r="F24" s="7">
        <v>45766</v>
      </c>
      <c r="G24" s="6">
        <v>1150</v>
      </c>
      <c r="H24" s="7">
        <v>45766</v>
      </c>
      <c r="I24" s="6" t="str">
        <f>IF(ISNUMBER(H24),"PAGADO",IF(ESTADOS[[#This Row],[FECHA_VENCE]]&gt;$C$1,"PENDIENTE",IF(ESTADOS[[#This Row],[FECHA_VENCE]]&lt;$C$1,"VENCIDO")))</f>
        <v>PAGADO</v>
      </c>
      <c r="J24" s="6" t="str">
        <f>IF(ESTADOS[[#This Row],[ESTADO]]="PAGADO","0",IF(ESTADOS[[#This Row],[FECHA_VENCE]]&lt;$C$1,ESTADOS[[#This Row],[FECHA_VENCE]]-$C$1,"0"))</f>
        <v>0</v>
      </c>
      <c r="K24" s="6" t="str">
        <f>IF(ESTADOS[[#This Row],[ESTADO]]="PAGADO","",IF(ESTADOS[[#This Row],[DIAS MORA]]&lt;=-7,"&gt;7 Días de Retraso",""))</f>
        <v/>
      </c>
      <c r="L24" s="6">
        <v>1</v>
      </c>
    </row>
    <row r="25" spans="2:12" x14ac:dyDescent="0.3">
      <c r="B25" s="6" t="s">
        <v>28</v>
      </c>
      <c r="C25" s="6" t="str">
        <f>VLOOKUP(ESTADOS[[#This Row],[COD_CLIENTE]],CLIENTES[],2,FALSE)</f>
        <v>JUAN CENTENO</v>
      </c>
      <c r="D25" s="6" t="s">
        <v>55</v>
      </c>
      <c r="E25" s="6" t="s">
        <v>78</v>
      </c>
      <c r="F25" s="7">
        <v>45759</v>
      </c>
      <c r="G25" s="6">
        <v>1150</v>
      </c>
      <c r="H25" s="7">
        <v>45759</v>
      </c>
      <c r="I25" s="6" t="str">
        <f>IF(ISNUMBER(H25),"PAGADO",IF(ESTADOS[[#This Row],[FECHA_VENCE]]&gt;$C$1,"PENDIENTE",IF(ESTADOS[[#This Row],[FECHA_VENCE]]&lt;$C$1,"VENCIDO")))</f>
        <v>PAGADO</v>
      </c>
      <c r="J25" s="6" t="str">
        <f>IF(ESTADOS[[#This Row],[ESTADO]]="PAGADO","0",IF(ESTADOS[[#This Row],[FECHA_VENCE]]&lt;$C$1,ESTADOS[[#This Row],[FECHA_VENCE]]-$C$1,"0"))</f>
        <v>0</v>
      </c>
      <c r="K25" s="6" t="str">
        <f>IF(ESTADOS[[#This Row],[ESTADO]]="PAGADO","",IF(ESTADOS[[#This Row],[DIAS MORA]]&lt;=-7,"&gt;7 Días de Retraso",""))</f>
        <v/>
      </c>
      <c r="L25" s="6">
        <v>1</v>
      </c>
    </row>
    <row r="26" spans="2:12" x14ac:dyDescent="0.3">
      <c r="B26" s="6" t="s">
        <v>28</v>
      </c>
      <c r="C26" s="6" t="str">
        <f>VLOOKUP(ESTADOS[[#This Row],[COD_CLIENTE]],CLIENTES[],2,FALSE)</f>
        <v>JUAN CENTENO</v>
      </c>
      <c r="D26" s="6" t="s">
        <v>55</v>
      </c>
      <c r="E26" s="6" t="s">
        <v>77</v>
      </c>
      <c r="F26" s="7">
        <v>45752</v>
      </c>
      <c r="G26" s="6">
        <v>1150</v>
      </c>
      <c r="H26" s="7">
        <v>45752</v>
      </c>
      <c r="I26" s="6" t="str">
        <f>IF(ISNUMBER(H26),"PAGADO",IF(ESTADOS[[#This Row],[FECHA_VENCE]]&gt;$C$1,"PENDIENTE",IF(ESTADOS[[#This Row],[FECHA_VENCE]]&lt;$C$1,"VENCIDO")))</f>
        <v>PAGADO</v>
      </c>
      <c r="J26" s="6" t="str">
        <f>IF(ESTADOS[[#This Row],[ESTADO]]="PAGADO","0",IF(ESTADOS[[#This Row],[FECHA_VENCE]]&lt;$C$1,ESTADOS[[#This Row],[FECHA_VENCE]]-$C$1,"0"))</f>
        <v>0</v>
      </c>
      <c r="K26" s="6" t="str">
        <f>IF(ESTADOS[[#This Row],[ESTADO]]="PAGADO","",IF(ESTADOS[[#This Row],[DIAS MORA]]&lt;=-7,"&gt;7 Días de Retraso",""))</f>
        <v/>
      </c>
      <c r="L26" s="6">
        <v>1</v>
      </c>
    </row>
    <row r="27" spans="2:12" x14ac:dyDescent="0.3">
      <c r="B27" s="6" t="s">
        <v>28</v>
      </c>
      <c r="C27" s="6" t="str">
        <f>VLOOKUP(ESTADOS[[#This Row],[COD_CLIENTE]],CLIENTES[],2,FALSE)</f>
        <v>JUAN CENTENO</v>
      </c>
      <c r="D27" s="6" t="s">
        <v>55</v>
      </c>
      <c r="E27" s="6" t="s">
        <v>76</v>
      </c>
      <c r="F27" s="7">
        <v>45745</v>
      </c>
      <c r="G27" s="6">
        <v>1150</v>
      </c>
      <c r="H27" s="7">
        <v>45745</v>
      </c>
      <c r="I27" s="6" t="str">
        <f>IF(ISNUMBER(H27),"PAGADO",IF(ESTADOS[[#This Row],[FECHA_VENCE]]&gt;$C$1,"PENDIENTE",IF(ESTADOS[[#This Row],[FECHA_VENCE]]&lt;$C$1,"VENCIDO")))</f>
        <v>PAGADO</v>
      </c>
      <c r="J27" s="6" t="str">
        <f>IF(ESTADOS[[#This Row],[ESTADO]]="PAGADO","0",IF(ESTADOS[[#This Row],[FECHA_VENCE]]&lt;$C$1,ESTADOS[[#This Row],[FECHA_VENCE]]-$C$1,"0"))</f>
        <v>0</v>
      </c>
      <c r="K27" s="6" t="str">
        <f>IF(ESTADOS[[#This Row],[ESTADO]]="PAGADO","",IF(ESTADOS[[#This Row],[DIAS MORA]]&lt;=-7,"&gt;7 Días de Retraso",""))</f>
        <v/>
      </c>
      <c r="L27" s="6">
        <v>1</v>
      </c>
    </row>
    <row r="28" spans="2:12" x14ac:dyDescent="0.3">
      <c r="B28" s="6" t="s">
        <v>28</v>
      </c>
      <c r="C28" s="6" t="str">
        <f>VLOOKUP(ESTADOS[[#This Row],[COD_CLIENTE]],CLIENTES[],2,FALSE)</f>
        <v>JUAN CENTENO</v>
      </c>
      <c r="D28" s="6" t="s">
        <v>55</v>
      </c>
      <c r="E28" s="6" t="s">
        <v>75</v>
      </c>
      <c r="F28" s="7">
        <v>45738</v>
      </c>
      <c r="G28" s="6">
        <v>1150</v>
      </c>
      <c r="H28" s="7">
        <v>45738</v>
      </c>
      <c r="I28" s="6" t="str">
        <f>IF(ISNUMBER(H28),"PAGADO",IF(ESTADOS[[#This Row],[FECHA_VENCE]]&gt;$C$1,"PENDIENTE",IF(ESTADOS[[#This Row],[FECHA_VENCE]]&lt;$C$1,"VENCIDO")))</f>
        <v>PAGADO</v>
      </c>
      <c r="J28" s="6" t="str">
        <f>IF(ESTADOS[[#This Row],[ESTADO]]="PAGADO","0",IF(ESTADOS[[#This Row],[FECHA_VENCE]]&lt;$C$1,ESTADOS[[#This Row],[FECHA_VENCE]]-$C$1,"0"))</f>
        <v>0</v>
      </c>
      <c r="K28" s="6" t="str">
        <f>IF(ESTADOS[[#This Row],[ESTADO]]="PAGADO","",IF(ESTADOS[[#This Row],[DIAS MORA]]&lt;=-7,"&gt;7 Días de Retraso",""))</f>
        <v/>
      </c>
      <c r="L28" s="6">
        <v>1</v>
      </c>
    </row>
    <row r="29" spans="2:12" x14ac:dyDescent="0.3">
      <c r="B29" s="6" t="s">
        <v>28</v>
      </c>
      <c r="C29" s="6" t="str">
        <f>VLOOKUP(ESTADOS[[#This Row],[COD_CLIENTE]],CLIENTES[],2,FALSE)</f>
        <v>JUAN CENTENO</v>
      </c>
      <c r="D29" s="6" t="s">
        <v>55</v>
      </c>
      <c r="E29" s="6" t="s">
        <v>74</v>
      </c>
      <c r="F29" s="7">
        <v>45731</v>
      </c>
      <c r="G29" s="6">
        <v>1150</v>
      </c>
      <c r="H29" s="7">
        <v>45731</v>
      </c>
      <c r="I29" s="6" t="str">
        <f>IF(ISNUMBER(H29),"PAGADO",IF(ESTADOS[[#This Row],[FECHA_VENCE]]&gt;$C$1,"PENDIENTE",IF(ESTADOS[[#This Row],[FECHA_VENCE]]&lt;$C$1,"VENCIDO")))</f>
        <v>PAGADO</v>
      </c>
      <c r="J29" s="6" t="str">
        <f>IF(ESTADOS[[#This Row],[ESTADO]]="PAGADO","0",IF(ESTADOS[[#This Row],[FECHA_VENCE]]&lt;$C$1,ESTADOS[[#This Row],[FECHA_VENCE]]-$C$1,"0"))</f>
        <v>0</v>
      </c>
      <c r="K29" s="6" t="str">
        <f>IF(ESTADOS[[#This Row],[ESTADO]]="PAGADO","",IF(ESTADOS[[#This Row],[DIAS MORA]]&lt;=-7,"&gt;7 Días de Retraso",""))</f>
        <v/>
      </c>
      <c r="L29" s="6">
        <v>1</v>
      </c>
    </row>
    <row r="30" spans="2:12" ht="15" thickBot="1" x14ac:dyDescent="0.35">
      <c r="B30" s="34" t="s">
        <v>28</v>
      </c>
      <c r="C30" s="34" t="str">
        <f>VLOOKUP(ESTADOS[[#This Row],[COD_CLIENTE]],CLIENTES[],2,FALSE)</f>
        <v>JUAN CENTENO</v>
      </c>
      <c r="D30" s="34" t="s">
        <v>55</v>
      </c>
      <c r="E30" s="34" t="s">
        <v>73</v>
      </c>
      <c r="F30" s="35">
        <v>45724</v>
      </c>
      <c r="G30" s="34">
        <v>1150</v>
      </c>
      <c r="H30" s="35">
        <v>45724</v>
      </c>
      <c r="I30" s="34" t="str">
        <f>IF(ISNUMBER(H30),"PAGADO",IF(ESTADOS[[#This Row],[FECHA_VENCE]]&gt;$C$1,"PENDIENTE",IF(ESTADOS[[#This Row],[FECHA_VENCE]]&lt;$C$1,"VENCIDO")))</f>
        <v>PAGADO</v>
      </c>
      <c r="J30" s="34" t="str">
        <f>IF(ESTADOS[[#This Row],[ESTADO]]="PAGADO","0",IF(ESTADOS[[#This Row],[FECHA_VENCE]]&lt;$C$1,ESTADOS[[#This Row],[FECHA_VENCE]]-$C$1,"0"))</f>
        <v>0</v>
      </c>
      <c r="K30" s="34" t="str">
        <f>IF(ESTADOS[[#This Row],[ESTADO]]="PAGADO","",IF(ESTADOS[[#This Row],[DIAS MORA]]&lt;=-7,"&gt;7 Días de Retraso",""))</f>
        <v/>
      </c>
      <c r="L30" s="34">
        <v>1</v>
      </c>
    </row>
    <row r="54" ht="16.95" customHeight="1" x14ac:dyDescent="0.3"/>
    <row r="55" ht="16.95" customHeight="1" x14ac:dyDescent="0.3"/>
    <row r="56" ht="16.95" customHeight="1" x14ac:dyDescent="0.3"/>
    <row r="57" ht="16.95" customHeight="1" x14ac:dyDescent="0.3"/>
    <row r="58" ht="16.95" customHeight="1" x14ac:dyDescent="0.3"/>
    <row r="59" ht="16.95" customHeight="1" x14ac:dyDescent="0.3"/>
    <row r="60" ht="16.95" customHeight="1" x14ac:dyDescent="0.3"/>
    <row r="61" ht="16.95" customHeight="1" x14ac:dyDescent="0.3"/>
    <row r="62" ht="16.95" customHeight="1" x14ac:dyDescent="0.3"/>
    <row r="63" ht="16.95" customHeight="1" x14ac:dyDescent="0.3"/>
    <row r="64" ht="16.95" customHeight="1" x14ac:dyDescent="0.3"/>
    <row r="65" ht="16.95" customHeight="1" x14ac:dyDescent="0.3"/>
    <row r="66" ht="16.95" customHeight="1" x14ac:dyDescent="0.3"/>
    <row r="67" ht="16.95" customHeight="1" x14ac:dyDescent="0.3"/>
    <row r="68" ht="16.95" customHeight="1" x14ac:dyDescent="0.3"/>
    <row r="69" ht="16.95" customHeight="1" x14ac:dyDescent="0.3"/>
    <row r="70" ht="16.95" customHeight="1" x14ac:dyDescent="0.3"/>
    <row r="71" ht="16.95" customHeight="1" x14ac:dyDescent="0.3"/>
    <row r="72" ht="16.95" customHeight="1" x14ac:dyDescent="0.3"/>
    <row r="73" ht="16.95" customHeight="1" x14ac:dyDescent="0.3"/>
    <row r="74" ht="16.95" customHeight="1" x14ac:dyDescent="0.3"/>
    <row r="75" ht="16.95" customHeight="1" x14ac:dyDescent="0.3"/>
    <row r="76" ht="16.95" customHeight="1" x14ac:dyDescent="0.3"/>
    <row r="77" ht="16.95" customHeight="1" x14ac:dyDescent="0.3"/>
    <row r="78" ht="16.95" customHeight="1" x14ac:dyDescent="0.3"/>
    <row r="79" ht="16.95" customHeight="1" x14ac:dyDescent="0.3"/>
    <row r="80" ht="16.95" customHeight="1" x14ac:dyDescent="0.3"/>
    <row r="81" ht="16.95" customHeight="1" x14ac:dyDescent="0.3"/>
    <row r="82" ht="16.95" customHeight="1" x14ac:dyDescent="0.3"/>
    <row r="83" ht="16.95" customHeight="1" x14ac:dyDescent="0.3"/>
    <row r="84" ht="16.95" customHeight="1" x14ac:dyDescent="0.3"/>
    <row r="85" ht="16.95" customHeight="1" x14ac:dyDescent="0.3"/>
    <row r="86" ht="16.95" customHeight="1" x14ac:dyDescent="0.3"/>
    <row r="87" ht="16.95" customHeight="1" x14ac:dyDescent="0.3"/>
    <row r="88" ht="16.95" customHeight="1" x14ac:dyDescent="0.3"/>
    <row r="89" ht="16.95" customHeight="1" x14ac:dyDescent="0.3"/>
    <row r="90" ht="16.95" customHeight="1" x14ac:dyDescent="0.3"/>
    <row r="91" ht="16.95" customHeight="1" x14ac:dyDescent="0.3"/>
    <row r="92" ht="16.95" customHeight="1" x14ac:dyDescent="0.3"/>
    <row r="93" ht="16.95" customHeight="1" x14ac:dyDescent="0.3"/>
    <row r="94" ht="16.95" customHeight="1" x14ac:dyDescent="0.3"/>
    <row r="95" ht="16.95" customHeight="1" x14ac:dyDescent="0.3"/>
    <row r="96" ht="16.95" customHeight="1" x14ac:dyDescent="0.3"/>
    <row r="97" ht="16.95" customHeight="1" x14ac:dyDescent="0.3"/>
    <row r="98" ht="16.95" customHeight="1" x14ac:dyDescent="0.3"/>
    <row r="99" ht="16.95" customHeight="1" x14ac:dyDescent="0.3"/>
    <row r="100" ht="16.95" customHeight="1" x14ac:dyDescent="0.3"/>
    <row r="101" ht="16.95" customHeight="1" x14ac:dyDescent="0.3"/>
    <row r="102" ht="16.95" customHeight="1" x14ac:dyDescent="0.3"/>
    <row r="103" ht="16.95" customHeight="1" x14ac:dyDescent="0.3"/>
    <row r="104" ht="16.95" customHeight="1" x14ac:dyDescent="0.3"/>
    <row r="105" ht="16.95" customHeight="1" x14ac:dyDescent="0.3"/>
    <row r="106" ht="16.95" customHeight="1" x14ac:dyDescent="0.3"/>
    <row r="107" ht="16.95" customHeight="1" x14ac:dyDescent="0.3"/>
    <row r="108" ht="16.95" customHeight="1" x14ac:dyDescent="0.3"/>
    <row r="109" ht="16.95" customHeight="1" x14ac:dyDescent="0.3"/>
    <row r="110" ht="16.95" customHeight="1" x14ac:dyDescent="0.3"/>
    <row r="111" ht="16.95" customHeight="1" x14ac:dyDescent="0.3"/>
    <row r="112" ht="16.95" customHeight="1" x14ac:dyDescent="0.3"/>
    <row r="113" ht="16.95" customHeight="1" x14ac:dyDescent="0.3"/>
    <row r="114" ht="16.95" customHeight="1" x14ac:dyDescent="0.3"/>
    <row r="115" ht="16.95" customHeight="1" x14ac:dyDescent="0.3"/>
    <row r="116" ht="16.95" customHeight="1" x14ac:dyDescent="0.3"/>
    <row r="117" ht="16.95" customHeight="1" x14ac:dyDescent="0.3"/>
    <row r="118" ht="16.95" customHeight="1" x14ac:dyDescent="0.3"/>
    <row r="119" ht="16.95" customHeight="1" x14ac:dyDescent="0.3"/>
    <row r="120" ht="16.95" customHeight="1" x14ac:dyDescent="0.3"/>
    <row r="121" ht="16.95" customHeight="1" x14ac:dyDescent="0.3"/>
    <row r="122" ht="16.95" customHeight="1" x14ac:dyDescent="0.3"/>
    <row r="123" ht="16.95" customHeight="1" x14ac:dyDescent="0.3"/>
    <row r="124" ht="16.95" customHeight="1" x14ac:dyDescent="0.3"/>
    <row r="125" ht="16.95" customHeight="1" x14ac:dyDescent="0.3"/>
    <row r="126" ht="16.95" customHeight="1" x14ac:dyDescent="0.3"/>
    <row r="127" ht="16.95" customHeight="1" x14ac:dyDescent="0.3"/>
    <row r="128" ht="16.95" customHeight="1" x14ac:dyDescent="0.3"/>
    <row r="129" ht="16.95" customHeight="1" x14ac:dyDescent="0.3"/>
    <row r="130" ht="16.95" customHeight="1" x14ac:dyDescent="0.3"/>
    <row r="131" ht="16.95" customHeight="1" x14ac:dyDescent="0.3"/>
    <row r="132" ht="16.95" customHeight="1" x14ac:dyDescent="0.3"/>
    <row r="133" ht="16.95" customHeight="1" x14ac:dyDescent="0.3"/>
    <row r="134" ht="16.95" customHeight="1" x14ac:dyDescent="0.3"/>
    <row r="135" ht="16.95" customHeight="1" x14ac:dyDescent="0.3"/>
    <row r="136" ht="16.95" customHeight="1" x14ac:dyDescent="0.3"/>
    <row r="137" ht="16.95" customHeight="1" x14ac:dyDescent="0.3"/>
    <row r="138" ht="16.95" customHeight="1" x14ac:dyDescent="0.3"/>
    <row r="139" ht="16.95" customHeight="1" x14ac:dyDescent="0.3"/>
    <row r="140" ht="16.95" customHeight="1" x14ac:dyDescent="0.3"/>
    <row r="141" ht="16.95" customHeight="1" x14ac:dyDescent="0.3"/>
    <row r="142" ht="16.95" customHeight="1" x14ac:dyDescent="0.3"/>
    <row r="143" ht="16.95" customHeight="1" x14ac:dyDescent="0.3"/>
    <row r="144" ht="16.95" customHeight="1" x14ac:dyDescent="0.3"/>
    <row r="145" ht="16.95" customHeight="1" x14ac:dyDescent="0.3"/>
    <row r="146" ht="16.95" customHeight="1" x14ac:dyDescent="0.3"/>
    <row r="147" ht="16.95" customHeight="1" x14ac:dyDescent="0.3"/>
    <row r="148" ht="16.95" customHeight="1" x14ac:dyDescent="0.3"/>
    <row r="149" ht="16.95" customHeight="1" x14ac:dyDescent="0.3"/>
    <row r="150" ht="16.95" customHeight="1" x14ac:dyDescent="0.3"/>
    <row r="151" ht="16.95" customHeight="1" x14ac:dyDescent="0.3"/>
    <row r="152" ht="16.95" customHeight="1" x14ac:dyDescent="0.3"/>
    <row r="153" ht="16.95" customHeight="1" x14ac:dyDescent="0.3"/>
    <row r="154" ht="16.95" customHeight="1" x14ac:dyDescent="0.3"/>
    <row r="155" ht="16.95" customHeight="1" x14ac:dyDescent="0.3"/>
    <row r="156" ht="16.95" customHeight="1" x14ac:dyDescent="0.3"/>
    <row r="157" ht="16.95" customHeight="1" x14ac:dyDescent="0.3"/>
    <row r="158" ht="16.95" customHeight="1" x14ac:dyDescent="0.3"/>
    <row r="159" ht="16.95" customHeight="1" x14ac:dyDescent="0.3"/>
    <row r="160" ht="16.95" customHeight="1" x14ac:dyDescent="0.3"/>
    <row r="161" ht="16.95" customHeight="1" x14ac:dyDescent="0.3"/>
    <row r="162" ht="16.95" customHeight="1" x14ac:dyDescent="0.3"/>
    <row r="163" ht="16.95" customHeight="1" x14ac:dyDescent="0.3"/>
    <row r="164" ht="16.95" customHeight="1" x14ac:dyDescent="0.3"/>
    <row r="165" ht="16.95" customHeight="1" x14ac:dyDescent="0.3"/>
    <row r="166" ht="16.95" customHeight="1" x14ac:dyDescent="0.3"/>
    <row r="167" ht="16.95" customHeight="1" x14ac:dyDescent="0.3"/>
    <row r="168" ht="16.95" customHeight="1" x14ac:dyDescent="0.3"/>
    <row r="169" ht="16.95" customHeight="1" x14ac:dyDescent="0.3"/>
    <row r="170" ht="16.95" customHeight="1" x14ac:dyDescent="0.3"/>
    <row r="171" ht="16.95" customHeight="1" x14ac:dyDescent="0.3"/>
    <row r="172" ht="16.95" customHeight="1" x14ac:dyDescent="0.3"/>
    <row r="173" ht="16.95" customHeight="1" x14ac:dyDescent="0.3"/>
    <row r="174" ht="16.95" customHeight="1" x14ac:dyDescent="0.3"/>
    <row r="175" ht="16.95" customHeight="1" x14ac:dyDescent="0.3"/>
    <row r="176" ht="16.95" customHeight="1" x14ac:dyDescent="0.3"/>
    <row r="177" ht="16.95" customHeight="1" x14ac:dyDescent="0.3"/>
    <row r="178" ht="16.95" customHeight="1" x14ac:dyDescent="0.3"/>
    <row r="179" ht="16.95" customHeight="1" x14ac:dyDescent="0.3"/>
    <row r="180" ht="16.95" customHeight="1" x14ac:dyDescent="0.3"/>
    <row r="181" ht="16.95" customHeight="1" x14ac:dyDescent="0.3"/>
    <row r="182" ht="16.95" customHeight="1" x14ac:dyDescent="0.3"/>
    <row r="183" ht="16.95" customHeight="1" x14ac:dyDescent="0.3"/>
    <row r="184" ht="16.95" customHeight="1" x14ac:dyDescent="0.3"/>
    <row r="185" ht="16.95" customHeight="1" x14ac:dyDescent="0.3"/>
    <row r="186" ht="16.95" customHeight="1" x14ac:dyDescent="0.3"/>
    <row r="187" ht="16.95" customHeight="1" x14ac:dyDescent="0.3"/>
    <row r="188" ht="16.95" customHeight="1" x14ac:dyDescent="0.3"/>
    <row r="189" ht="16.95" customHeight="1" x14ac:dyDescent="0.3"/>
    <row r="190" ht="16.95" customHeight="1" x14ac:dyDescent="0.3"/>
    <row r="191" ht="16.95" customHeight="1" x14ac:dyDescent="0.3"/>
    <row r="192" ht="16.95" customHeight="1" x14ac:dyDescent="0.3"/>
    <row r="193" ht="16.95" customHeight="1" x14ac:dyDescent="0.3"/>
    <row r="194" ht="16.95" customHeight="1" x14ac:dyDescent="0.3"/>
    <row r="195" ht="16.95" customHeight="1" x14ac:dyDescent="0.3"/>
    <row r="196" ht="16.95" customHeight="1" x14ac:dyDescent="0.3"/>
    <row r="197" ht="16.95" customHeight="1" x14ac:dyDescent="0.3"/>
    <row r="198" ht="16.95" customHeight="1" x14ac:dyDescent="0.3"/>
    <row r="199" ht="16.95" customHeight="1" x14ac:dyDescent="0.3"/>
    <row r="200" ht="16.95" customHeight="1" x14ac:dyDescent="0.3"/>
    <row r="201" ht="16.95" customHeight="1" x14ac:dyDescent="0.3"/>
    <row r="202" ht="16.95" customHeight="1" x14ac:dyDescent="0.3"/>
    <row r="203" ht="16.95" customHeight="1" x14ac:dyDescent="0.3"/>
    <row r="204" ht="16.95" customHeight="1" x14ac:dyDescent="0.3"/>
    <row r="205" ht="16.95" customHeight="1" x14ac:dyDescent="0.3"/>
    <row r="206" ht="16.95" customHeight="1" x14ac:dyDescent="0.3"/>
    <row r="207" ht="16.95" customHeight="1" x14ac:dyDescent="0.3"/>
    <row r="208" ht="16.95" customHeight="1" x14ac:dyDescent="0.3"/>
    <row r="209" ht="16.95" customHeight="1" x14ac:dyDescent="0.3"/>
    <row r="210" ht="16.95" customHeight="1" x14ac:dyDescent="0.3"/>
    <row r="211" ht="16.95" customHeight="1" x14ac:dyDescent="0.3"/>
    <row r="212" ht="16.95" customHeight="1" x14ac:dyDescent="0.3"/>
    <row r="213" ht="16.95" customHeight="1" x14ac:dyDescent="0.3"/>
    <row r="214" ht="16.95" customHeight="1" x14ac:dyDescent="0.3"/>
    <row r="215" ht="16.95" customHeight="1" x14ac:dyDescent="0.3"/>
    <row r="216" ht="16.95" customHeight="1" x14ac:dyDescent="0.3"/>
    <row r="217" ht="16.95" customHeight="1" x14ac:dyDescent="0.3"/>
    <row r="218" ht="16.95" customHeight="1" x14ac:dyDescent="0.3"/>
    <row r="219" ht="16.95" customHeight="1" x14ac:dyDescent="0.3"/>
    <row r="220" ht="16.95" customHeight="1" x14ac:dyDescent="0.3"/>
    <row r="221" ht="16.95" customHeight="1" x14ac:dyDescent="0.3"/>
    <row r="222" ht="16.95" customHeight="1" x14ac:dyDescent="0.3"/>
    <row r="223" ht="16.95" customHeight="1" x14ac:dyDescent="0.3"/>
    <row r="224" ht="16.95" customHeight="1" x14ac:dyDescent="0.3"/>
    <row r="225" ht="16.95" customHeight="1" x14ac:dyDescent="0.3"/>
    <row r="226" ht="16.95" customHeight="1" x14ac:dyDescent="0.3"/>
    <row r="227" ht="16.95" customHeight="1" x14ac:dyDescent="0.3"/>
    <row r="228" ht="16.95" customHeight="1" x14ac:dyDescent="0.3"/>
    <row r="229" ht="16.95" customHeight="1" x14ac:dyDescent="0.3"/>
    <row r="230" ht="16.95" customHeight="1" x14ac:dyDescent="0.3"/>
    <row r="231" ht="16.95" customHeight="1" x14ac:dyDescent="0.3"/>
    <row r="232" ht="16.95" customHeight="1" x14ac:dyDescent="0.3"/>
    <row r="233" ht="16.95" customHeight="1" x14ac:dyDescent="0.3"/>
    <row r="234" ht="16.95" customHeight="1" x14ac:dyDescent="0.3"/>
    <row r="235" ht="16.95" customHeight="1" x14ac:dyDescent="0.3"/>
    <row r="236" ht="16.95" customHeight="1" x14ac:dyDescent="0.3"/>
    <row r="237" ht="16.95" customHeight="1" x14ac:dyDescent="0.3"/>
    <row r="238" ht="16.95" customHeight="1" x14ac:dyDescent="0.3"/>
    <row r="239" ht="16.95" customHeight="1" x14ac:dyDescent="0.3"/>
    <row r="240" ht="16.95" customHeight="1" x14ac:dyDescent="0.3"/>
    <row r="241" ht="16.95" customHeight="1" x14ac:dyDescent="0.3"/>
    <row r="242" ht="16.95" customHeight="1" x14ac:dyDescent="0.3"/>
    <row r="243" ht="16.95" customHeight="1" x14ac:dyDescent="0.3"/>
    <row r="244" ht="16.95" customHeight="1" x14ac:dyDescent="0.3"/>
    <row r="245" ht="16.95" customHeight="1" x14ac:dyDescent="0.3"/>
    <row r="246" ht="16.95" customHeight="1" x14ac:dyDescent="0.3"/>
    <row r="247" ht="16.95" customHeight="1" x14ac:dyDescent="0.3"/>
    <row r="248" ht="16.95" customHeight="1" x14ac:dyDescent="0.3"/>
    <row r="249" ht="16.95" customHeight="1" x14ac:dyDescent="0.3"/>
    <row r="250" ht="16.95" customHeight="1" x14ac:dyDescent="0.3"/>
    <row r="251" ht="16.95" customHeight="1" x14ac:dyDescent="0.3"/>
    <row r="252" ht="16.95" customHeight="1" x14ac:dyDescent="0.3"/>
    <row r="253" ht="16.95" customHeight="1" x14ac:dyDescent="0.3"/>
    <row r="254" ht="16.95" customHeight="1" x14ac:dyDescent="0.3"/>
    <row r="255" ht="16.95" customHeight="1" x14ac:dyDescent="0.3"/>
    <row r="256" ht="16.95" customHeight="1" x14ac:dyDescent="0.3"/>
    <row r="257" ht="16.95" customHeight="1" x14ac:dyDescent="0.3"/>
    <row r="258" ht="16.95" customHeight="1" x14ac:dyDescent="0.3"/>
    <row r="259" ht="16.95" customHeight="1" x14ac:dyDescent="0.3"/>
    <row r="260" ht="16.95" customHeight="1" x14ac:dyDescent="0.3"/>
    <row r="261" ht="16.95" customHeight="1" x14ac:dyDescent="0.3"/>
    <row r="262" ht="16.95" customHeight="1" x14ac:dyDescent="0.3"/>
    <row r="263" ht="16.95" customHeight="1" x14ac:dyDescent="0.3"/>
    <row r="264" ht="16.95" customHeight="1" x14ac:dyDescent="0.3"/>
    <row r="265" ht="16.95" customHeight="1" x14ac:dyDescent="0.3"/>
    <row r="266" ht="16.95" customHeight="1" x14ac:dyDescent="0.3"/>
    <row r="267" ht="16.95" customHeight="1" x14ac:dyDescent="0.3"/>
    <row r="268" ht="16.95" customHeight="1" x14ac:dyDescent="0.3"/>
    <row r="269" ht="16.95" customHeight="1" x14ac:dyDescent="0.3"/>
    <row r="270" ht="16.95" customHeight="1" x14ac:dyDescent="0.3"/>
    <row r="271" ht="16.95" customHeight="1" x14ac:dyDescent="0.3"/>
    <row r="272" ht="16.95" customHeight="1" x14ac:dyDescent="0.3"/>
    <row r="273" ht="16.95" customHeight="1" x14ac:dyDescent="0.3"/>
    <row r="274" ht="16.95" customHeight="1" x14ac:dyDescent="0.3"/>
    <row r="275" ht="16.95" customHeight="1" x14ac:dyDescent="0.3"/>
  </sheetData>
  <conditionalFormatting sqref="I5:I30">
    <cfRule type="containsText" dxfId="5" priority="2" operator="containsText" text="PAGADO">
      <formula>NOT(ISERROR(SEARCH("PAGADO",I5)))</formula>
    </cfRule>
    <cfRule type="containsText" dxfId="4" priority="3" operator="containsText" text="PENDIENTE">
      <formula>NOT(ISERROR(SEARCH("PENDIENTE",I5)))</formula>
    </cfRule>
    <cfRule type="containsText" dxfId="3" priority="4" operator="containsText" text="VENCIDO">
      <formula>NOT(ISERROR(SEARCH("VENCIDO",I5)))</formula>
    </cfRule>
  </conditionalFormatting>
  <conditionalFormatting sqref="K5:K30">
    <cfRule type="containsText" dxfId="2" priority="1" operator="containsText" text="&gt;7 Días de Retraso">
      <formula>NOT(ISERROR(SEARCH("&gt;7 Días de Retraso",K5)))</formula>
    </cfRule>
  </conditionalFormatting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5959-F9EC-4BD1-A0EC-475FC5F662FF}">
  <sheetPr codeName="Hoja4">
    <tabColor rgb="FFFFFF00"/>
  </sheetPr>
  <dimension ref="B1:L200"/>
  <sheetViews>
    <sheetView topLeftCell="A2" workbookViewId="0">
      <selection activeCell="B5" sqref="B5:L5"/>
    </sheetView>
  </sheetViews>
  <sheetFormatPr baseColWidth="10" defaultRowHeight="14.4" x14ac:dyDescent="0.3"/>
  <cols>
    <col min="1" max="1" width="3.77734375" customWidth="1"/>
    <col min="2" max="2" width="15.21875" bestFit="1" customWidth="1"/>
    <col min="3" max="3" width="15.77734375" customWidth="1"/>
    <col min="4" max="4" width="55.77734375" customWidth="1"/>
    <col min="5" max="5" width="19.77734375" customWidth="1"/>
    <col min="6" max="6" width="22.77734375" customWidth="1"/>
    <col min="7" max="7" width="15.77734375" customWidth="1"/>
    <col min="8" max="8" width="19.77734375" style="2" customWidth="1"/>
    <col min="9" max="9" width="19.77734375" style="17" customWidth="1"/>
    <col min="10" max="11" width="15.77734375" customWidth="1"/>
    <col min="12" max="12" width="19.77734375" customWidth="1"/>
  </cols>
  <sheetData>
    <row r="1" spans="2:12" ht="16.05" customHeight="1" x14ac:dyDescent="0.3"/>
    <row r="2" spans="2:12" ht="16.05" customHeight="1" x14ac:dyDescent="0.3">
      <c r="K2" s="20"/>
      <c r="L2" s="17"/>
    </row>
    <row r="3" spans="2:12" ht="16.05" customHeight="1" x14ac:dyDescent="0.3"/>
    <row r="4" spans="2:12" ht="16.05" customHeight="1" x14ac:dyDescent="0.3">
      <c r="B4" s="1" t="s">
        <v>63</v>
      </c>
      <c r="C4" s="1" t="s">
        <v>20</v>
      </c>
      <c r="D4" s="4" t="s">
        <v>21</v>
      </c>
      <c r="E4" s="4" t="s">
        <v>22</v>
      </c>
      <c r="F4" s="4" t="s">
        <v>23</v>
      </c>
      <c r="G4" s="4" t="s">
        <v>7</v>
      </c>
      <c r="H4" s="5" t="s">
        <v>15</v>
      </c>
      <c r="I4" s="18" t="s">
        <v>24</v>
      </c>
      <c r="J4" s="4" t="s">
        <v>25</v>
      </c>
      <c r="K4" s="4" t="s">
        <v>26</v>
      </c>
      <c r="L4" s="4" t="s">
        <v>27</v>
      </c>
    </row>
    <row r="5" spans="2:12" ht="16.05" customHeight="1" thickBot="1" x14ac:dyDescent="0.35">
      <c r="B5" s="11">
        <v>4</v>
      </c>
      <c r="C5" s="11" t="s">
        <v>85</v>
      </c>
      <c r="D5" s="12" t="str">
        <f>VLOOKUP(Tabla4[[#This Row],[COD_CLI]],CLIENTES[],2,FALSE)</f>
        <v>DAVID ZELAYA</v>
      </c>
      <c r="E5" s="13">
        <v>45814</v>
      </c>
      <c r="F5" s="12">
        <v>5000</v>
      </c>
      <c r="G5" s="12" t="s">
        <v>53</v>
      </c>
      <c r="H5" s="14">
        <v>0.05</v>
      </c>
      <c r="I5" s="19">
        <f ca="1">SUMIFS(ESTADOS[IMPORTE CUOTA],ESTADOS[ID PRESTAMO],Tabla4[[#This Row],[ID PRESTAMO]],ESTADOS[ESTADO],"PAGADO")</f>
        <v>0</v>
      </c>
      <c r="J5" s="12">
        <f ca="1">Tabla4[[#This Row],[MONTO PAGADO]]-Tabla4[[#This Row],[IMPORTE DEL CREDITO]]</f>
        <v>-5000</v>
      </c>
      <c r="K5" s="12" cm="1">
        <f t="array" aca="1" ref="K5" ca="1">SUM(Tabla4[IMPORTE DEL CREDITO]*Tabla4[TASA DE INTERES]+Tabla4[IMPORTE DEL CREDITO]-Tabla4[MONTO PAGADO])</f>
        <v>10671.428571428572</v>
      </c>
      <c r="L5" s="12">
        <f>COUNTIFS(ESTADOS[ID PRESTAMO],Tabla4[[#This Row],[ID PRESTAMO]],ESTADOS[FECHA DE PAGO],"")</f>
        <v>4</v>
      </c>
    </row>
    <row r="6" spans="2:12" ht="16.05" customHeight="1" thickBot="1" x14ac:dyDescent="0.35">
      <c r="B6" s="11">
        <v>3</v>
      </c>
      <c r="C6" s="11" t="s">
        <v>59</v>
      </c>
      <c r="D6" s="12" t="str">
        <f>VLOOKUP(Tabla4[[#This Row],[COD_CLI]],CLIENTES[],2,FALSE)</f>
        <v>JULIO PONCE</v>
      </c>
      <c r="E6" s="13">
        <v>45708</v>
      </c>
      <c r="F6" s="12">
        <v>6000</v>
      </c>
      <c r="G6" s="12" t="s">
        <v>54</v>
      </c>
      <c r="H6" s="14">
        <v>0.15</v>
      </c>
      <c r="I6" s="19">
        <f ca="1">SUMIFS(ESTADOS[IMPORTE CUOTA],ESTADOS[ID PRESTAMO],Tabla4[[#This Row],[ID PRESTAMO]],ESTADOS[ESTADO],"PAGADO")</f>
        <v>4928.5714285714284</v>
      </c>
      <c r="J6" s="12">
        <f ca="1">Tabla4[[#This Row],[MONTO PAGADO]]-Tabla4[[#This Row],[IMPORTE DEL CREDITO]]</f>
        <v>-1071.4285714285716</v>
      </c>
      <c r="K6" s="12" cm="1">
        <f t="array" aca="1" ref="K6" ca="1">SUM(Tabla4[IMPORTE DEL CREDITO]*Tabla4[TASA DE INTERES]+Tabla4[IMPORTE DEL CREDITO]-Tabla4[MONTO PAGADO])</f>
        <v>10671.428571428572</v>
      </c>
      <c r="L6" s="12">
        <f>COUNTIFS(ESTADOS[ID PRESTAMO],Tabla4[[#This Row],[ID PRESTAMO]],ESTADOS[FECHA DE PAGO],"")</f>
        <v>2</v>
      </c>
    </row>
    <row r="7" spans="2:12" ht="16.05" customHeight="1" thickBot="1" x14ac:dyDescent="0.35">
      <c r="B7" s="11">
        <v>2</v>
      </c>
      <c r="C7" s="11" t="s">
        <v>49</v>
      </c>
      <c r="D7" s="12" t="str">
        <f>VLOOKUP(Tabla4[[#This Row],[COD_CLI]],CLIENTES[],2,FALSE)</f>
        <v>MARIO DAVILA</v>
      </c>
      <c r="E7" s="13">
        <v>45698</v>
      </c>
      <c r="F7" s="12">
        <v>5000</v>
      </c>
      <c r="G7" s="12" t="s">
        <v>55</v>
      </c>
      <c r="H7" s="14">
        <v>0.15</v>
      </c>
      <c r="I7" s="19">
        <f>SUMIFS(ESTADOS[IMPORTE CUOTA],ESTADOS[ID PRESTAMO],Tabla4[[#This Row],[ID PRESTAMO]],ESTADOS[ESTADO],"PAGADO")</f>
        <v>5750</v>
      </c>
      <c r="J7" s="12">
        <f>Tabla4[[#This Row],[MONTO PAGADO]]-Tabla4[[#This Row],[IMPORTE DEL CREDITO]]</f>
        <v>750</v>
      </c>
      <c r="K7" s="12" cm="1">
        <f t="array" aca="1" ref="K7" ca="1">SUM(Tabla4[IMPORTE DEL CREDITO]*Tabla4[TASA DE INTERES]+Tabla4[IMPORTE DEL CREDITO]-Tabla4[MONTO PAGADO])</f>
        <v>10671.428571428572</v>
      </c>
      <c r="L7" s="12">
        <f>COUNTIFS(ESTADOS[ID PRESTAMO],Tabla4[[#This Row],[ID PRESTAMO]],ESTADOS[FECHA DE PAGO],"")</f>
        <v>0</v>
      </c>
    </row>
    <row r="8" spans="2:12" ht="16.05" customHeight="1" thickBot="1" x14ac:dyDescent="0.35">
      <c r="B8" s="11">
        <v>1</v>
      </c>
      <c r="C8" s="11" t="s">
        <v>28</v>
      </c>
      <c r="D8" s="12" t="str">
        <f>VLOOKUP(Tabla4[[#This Row],[COD_CLI]],CLIENTES[],2,FALSE)</f>
        <v>JUAN CENTENO</v>
      </c>
      <c r="E8" s="13">
        <v>45717</v>
      </c>
      <c r="F8" s="12">
        <v>10000</v>
      </c>
      <c r="G8" s="12" t="s">
        <v>55</v>
      </c>
      <c r="H8" s="14">
        <v>0.15</v>
      </c>
      <c r="I8" s="19">
        <f ca="1">SUMIFS(ESTADOS[IMPORTE CUOTA],ESTADOS[ID PRESTAMO],Tabla4[[#This Row],[ID PRESTAMO]],ESTADOS[ESTADO],"PAGADO")</f>
        <v>8050</v>
      </c>
      <c r="J8" s="12">
        <f ca="1">Tabla4[[#This Row],[MONTO PAGADO]]-Tabla4[[#This Row],[IMPORTE DEL CREDITO]]</f>
        <v>-1950</v>
      </c>
      <c r="K8" s="12" cm="1">
        <f t="array" aca="1" ref="K8" ca="1">SUM(Tabla4[IMPORTE DEL CREDITO]*Tabla4[TASA DE INTERES]+Tabla4[IMPORTE DEL CREDITO]-Tabla4[MONTO PAGADO])</f>
        <v>10671.428571428572</v>
      </c>
      <c r="L8" s="12">
        <f>COUNTIFS(ESTADOS[ID PRESTAMO],Tabla4[[#This Row],[ID PRESTAMO]],ESTADOS[FECHA DE PAGO],"")</f>
        <v>3</v>
      </c>
    </row>
    <row r="9" spans="2:12" ht="16.05" customHeight="1" x14ac:dyDescent="0.3"/>
    <row r="10" spans="2:12" ht="16.05" customHeight="1" x14ac:dyDescent="0.3"/>
    <row r="11" spans="2:12" ht="16.05" customHeight="1" x14ac:dyDescent="0.3"/>
    <row r="12" spans="2:12" ht="16.05" customHeight="1" x14ac:dyDescent="0.3">
      <c r="D12" t="s">
        <v>57</v>
      </c>
    </row>
    <row r="13" spans="2:12" ht="16.05" customHeight="1" x14ac:dyDescent="0.3"/>
    <row r="14" spans="2:12" ht="16.05" customHeight="1" x14ac:dyDescent="0.3"/>
    <row r="15" spans="2:12" ht="16.05" customHeight="1" x14ac:dyDescent="0.3"/>
    <row r="16" spans="2:12" ht="16.05" customHeight="1" x14ac:dyDescent="0.3"/>
    <row r="17" ht="16.05" customHeight="1" x14ac:dyDescent="0.3"/>
    <row r="18" ht="16.05" customHeight="1" x14ac:dyDescent="0.3"/>
    <row r="19" ht="16.05" customHeight="1" x14ac:dyDescent="0.3"/>
    <row r="20" ht="16.05" customHeight="1" x14ac:dyDescent="0.3"/>
    <row r="21" ht="16.05" customHeight="1" x14ac:dyDescent="0.3"/>
    <row r="22" ht="16.05" customHeight="1" x14ac:dyDescent="0.3"/>
    <row r="23" ht="16.05" customHeight="1" x14ac:dyDescent="0.3"/>
    <row r="24" ht="16.05" customHeight="1" x14ac:dyDescent="0.3"/>
    <row r="25" ht="16.05" customHeight="1" x14ac:dyDescent="0.3"/>
    <row r="26" ht="16.05" customHeight="1" x14ac:dyDescent="0.3"/>
    <row r="27" ht="16.05" customHeight="1" x14ac:dyDescent="0.3"/>
    <row r="28" ht="16.05" customHeight="1" x14ac:dyDescent="0.3"/>
    <row r="29" ht="16.05" customHeight="1" x14ac:dyDescent="0.3"/>
    <row r="30" ht="16.05" customHeight="1" x14ac:dyDescent="0.3"/>
    <row r="31" ht="16.05" customHeight="1" x14ac:dyDescent="0.3"/>
    <row r="32" ht="16.95" customHeight="1" x14ac:dyDescent="0.3"/>
    <row r="33" ht="16.95" customHeight="1" x14ac:dyDescent="0.3"/>
    <row r="34" ht="16.95" customHeight="1" x14ac:dyDescent="0.3"/>
    <row r="35" ht="16.95" customHeight="1" x14ac:dyDescent="0.3"/>
    <row r="36" ht="16.95" customHeight="1" x14ac:dyDescent="0.3"/>
    <row r="37" ht="16.95" customHeight="1" x14ac:dyDescent="0.3"/>
    <row r="38" ht="16.95" customHeight="1" x14ac:dyDescent="0.3"/>
    <row r="39" ht="16.95" customHeight="1" x14ac:dyDescent="0.3"/>
    <row r="40" ht="16.95" customHeight="1" x14ac:dyDescent="0.3"/>
    <row r="41" ht="16.95" customHeight="1" x14ac:dyDescent="0.3"/>
    <row r="42" ht="16.95" customHeight="1" x14ac:dyDescent="0.3"/>
    <row r="43" ht="16.95" customHeight="1" x14ac:dyDescent="0.3"/>
    <row r="44" ht="16.95" customHeight="1" x14ac:dyDescent="0.3"/>
    <row r="45" ht="16.95" customHeight="1" x14ac:dyDescent="0.3"/>
    <row r="46" ht="16.95" customHeight="1" x14ac:dyDescent="0.3"/>
    <row r="47" ht="16.95" customHeight="1" x14ac:dyDescent="0.3"/>
    <row r="48" ht="16.95" customHeight="1" x14ac:dyDescent="0.3"/>
    <row r="49" ht="16.95" customHeight="1" x14ac:dyDescent="0.3"/>
    <row r="50" ht="16.95" customHeight="1" x14ac:dyDescent="0.3"/>
    <row r="51" ht="16.95" customHeight="1" x14ac:dyDescent="0.3"/>
    <row r="52" ht="16.95" customHeight="1" x14ac:dyDescent="0.3"/>
    <row r="53" ht="16.95" customHeight="1" x14ac:dyDescent="0.3"/>
    <row r="54" ht="16.95" customHeight="1" x14ac:dyDescent="0.3"/>
    <row r="55" ht="16.95" customHeight="1" x14ac:dyDescent="0.3"/>
    <row r="56" ht="16.95" customHeight="1" x14ac:dyDescent="0.3"/>
    <row r="57" ht="16.95" customHeight="1" x14ac:dyDescent="0.3"/>
    <row r="58" ht="16.95" customHeight="1" x14ac:dyDescent="0.3"/>
    <row r="59" ht="16.95" customHeight="1" x14ac:dyDescent="0.3"/>
    <row r="60" ht="16.95" customHeight="1" x14ac:dyDescent="0.3"/>
    <row r="61" ht="16.95" customHeight="1" x14ac:dyDescent="0.3"/>
    <row r="62" ht="16.95" customHeight="1" x14ac:dyDescent="0.3"/>
    <row r="63" ht="16.95" customHeight="1" x14ac:dyDescent="0.3"/>
    <row r="64" ht="16.95" customHeight="1" x14ac:dyDescent="0.3"/>
    <row r="65" ht="16.95" customHeight="1" x14ac:dyDescent="0.3"/>
    <row r="66" ht="16.95" customHeight="1" x14ac:dyDescent="0.3"/>
    <row r="67" ht="16.95" customHeight="1" x14ac:dyDescent="0.3"/>
    <row r="68" ht="16.95" customHeight="1" x14ac:dyDescent="0.3"/>
    <row r="69" ht="16.95" customHeight="1" x14ac:dyDescent="0.3"/>
    <row r="70" ht="16.95" customHeight="1" x14ac:dyDescent="0.3"/>
    <row r="71" ht="16.95" customHeight="1" x14ac:dyDescent="0.3"/>
    <row r="72" ht="16.95" customHeight="1" x14ac:dyDescent="0.3"/>
    <row r="73" ht="16.95" customHeight="1" x14ac:dyDescent="0.3"/>
    <row r="74" ht="16.95" customHeight="1" x14ac:dyDescent="0.3"/>
    <row r="75" ht="16.95" customHeight="1" x14ac:dyDescent="0.3"/>
    <row r="76" ht="16.95" customHeight="1" x14ac:dyDescent="0.3"/>
    <row r="77" ht="16.95" customHeight="1" x14ac:dyDescent="0.3"/>
    <row r="78" ht="16.95" customHeight="1" x14ac:dyDescent="0.3"/>
    <row r="79" ht="16.95" customHeight="1" x14ac:dyDescent="0.3"/>
    <row r="80" ht="16.95" customHeight="1" x14ac:dyDescent="0.3"/>
    <row r="81" ht="16.95" customHeight="1" x14ac:dyDescent="0.3"/>
    <row r="82" ht="16.95" customHeight="1" x14ac:dyDescent="0.3"/>
    <row r="83" ht="16.95" customHeight="1" x14ac:dyDescent="0.3"/>
    <row r="84" ht="16.95" customHeight="1" x14ac:dyDescent="0.3"/>
    <row r="85" ht="16.95" customHeight="1" x14ac:dyDescent="0.3"/>
    <row r="86" ht="16.95" customHeight="1" x14ac:dyDescent="0.3"/>
    <row r="87" ht="16.95" customHeight="1" x14ac:dyDescent="0.3"/>
    <row r="88" ht="16.95" customHeight="1" x14ac:dyDescent="0.3"/>
    <row r="89" ht="16.95" customHeight="1" x14ac:dyDescent="0.3"/>
    <row r="90" ht="16.95" customHeight="1" x14ac:dyDescent="0.3"/>
    <row r="91" ht="16.95" customHeight="1" x14ac:dyDescent="0.3"/>
    <row r="92" ht="16.95" customHeight="1" x14ac:dyDescent="0.3"/>
    <row r="93" ht="16.95" customHeight="1" x14ac:dyDescent="0.3"/>
    <row r="94" ht="16.95" customHeight="1" x14ac:dyDescent="0.3"/>
    <row r="95" ht="16.95" customHeight="1" x14ac:dyDescent="0.3"/>
    <row r="96" ht="16.95" customHeight="1" x14ac:dyDescent="0.3"/>
    <row r="97" ht="16.95" customHeight="1" x14ac:dyDescent="0.3"/>
    <row r="98" ht="16.95" customHeight="1" x14ac:dyDescent="0.3"/>
    <row r="99" ht="16.95" customHeight="1" x14ac:dyDescent="0.3"/>
    <row r="100" ht="16.95" customHeight="1" x14ac:dyDescent="0.3"/>
    <row r="101" ht="16.95" customHeight="1" x14ac:dyDescent="0.3"/>
    <row r="102" ht="16.95" customHeight="1" x14ac:dyDescent="0.3"/>
    <row r="103" ht="16.95" customHeight="1" x14ac:dyDescent="0.3"/>
    <row r="104" ht="16.95" customHeight="1" x14ac:dyDescent="0.3"/>
    <row r="105" ht="16.95" customHeight="1" x14ac:dyDescent="0.3"/>
    <row r="106" ht="16.95" customHeight="1" x14ac:dyDescent="0.3"/>
    <row r="107" ht="16.95" customHeight="1" x14ac:dyDescent="0.3"/>
    <row r="108" ht="16.95" customHeight="1" x14ac:dyDescent="0.3"/>
    <row r="109" ht="16.95" customHeight="1" x14ac:dyDescent="0.3"/>
    <row r="110" ht="16.95" customHeight="1" x14ac:dyDescent="0.3"/>
    <row r="111" ht="16.95" customHeight="1" x14ac:dyDescent="0.3"/>
    <row r="112" ht="16.95" customHeight="1" x14ac:dyDescent="0.3"/>
    <row r="113" ht="16.95" customHeight="1" x14ac:dyDescent="0.3"/>
    <row r="114" ht="16.95" customHeight="1" x14ac:dyDescent="0.3"/>
    <row r="115" ht="16.95" customHeight="1" x14ac:dyDescent="0.3"/>
    <row r="116" ht="16.95" customHeight="1" x14ac:dyDescent="0.3"/>
    <row r="117" ht="16.95" customHeight="1" x14ac:dyDescent="0.3"/>
    <row r="118" ht="16.95" customHeight="1" x14ac:dyDescent="0.3"/>
    <row r="119" ht="16.95" customHeight="1" x14ac:dyDescent="0.3"/>
    <row r="120" ht="16.95" customHeight="1" x14ac:dyDescent="0.3"/>
    <row r="121" ht="16.95" customHeight="1" x14ac:dyDescent="0.3"/>
    <row r="122" ht="16.95" customHeight="1" x14ac:dyDescent="0.3"/>
    <row r="123" ht="16.95" customHeight="1" x14ac:dyDescent="0.3"/>
    <row r="124" ht="16.95" customHeight="1" x14ac:dyDescent="0.3"/>
    <row r="125" ht="16.95" customHeight="1" x14ac:dyDescent="0.3"/>
    <row r="126" ht="16.95" customHeight="1" x14ac:dyDescent="0.3"/>
    <row r="127" ht="16.95" customHeight="1" x14ac:dyDescent="0.3"/>
    <row r="128" ht="16.95" customHeight="1" x14ac:dyDescent="0.3"/>
    <row r="129" ht="16.95" customHeight="1" x14ac:dyDescent="0.3"/>
    <row r="130" ht="16.95" customHeight="1" x14ac:dyDescent="0.3"/>
    <row r="131" ht="16.95" customHeight="1" x14ac:dyDescent="0.3"/>
    <row r="132" ht="16.95" customHeight="1" x14ac:dyDescent="0.3"/>
    <row r="133" ht="16.95" customHeight="1" x14ac:dyDescent="0.3"/>
    <row r="134" ht="16.95" customHeight="1" x14ac:dyDescent="0.3"/>
    <row r="135" ht="16.95" customHeight="1" x14ac:dyDescent="0.3"/>
    <row r="136" ht="16.95" customHeight="1" x14ac:dyDescent="0.3"/>
    <row r="137" ht="16.95" customHeight="1" x14ac:dyDescent="0.3"/>
    <row r="138" ht="16.95" customHeight="1" x14ac:dyDescent="0.3"/>
    <row r="139" ht="16.95" customHeight="1" x14ac:dyDescent="0.3"/>
    <row r="140" ht="16.95" customHeight="1" x14ac:dyDescent="0.3"/>
    <row r="141" ht="16.95" customHeight="1" x14ac:dyDescent="0.3"/>
    <row r="142" ht="16.95" customHeight="1" x14ac:dyDescent="0.3"/>
    <row r="143" ht="16.95" customHeight="1" x14ac:dyDescent="0.3"/>
    <row r="144" ht="16.95" customHeight="1" x14ac:dyDescent="0.3"/>
    <row r="145" ht="16.95" customHeight="1" x14ac:dyDescent="0.3"/>
    <row r="146" ht="16.95" customHeight="1" x14ac:dyDescent="0.3"/>
    <row r="147" ht="16.95" customHeight="1" x14ac:dyDescent="0.3"/>
    <row r="148" ht="16.95" customHeight="1" x14ac:dyDescent="0.3"/>
    <row r="149" ht="16.95" customHeight="1" x14ac:dyDescent="0.3"/>
    <row r="150" ht="16.95" customHeight="1" x14ac:dyDescent="0.3"/>
    <row r="151" ht="16.95" customHeight="1" x14ac:dyDescent="0.3"/>
    <row r="152" ht="16.95" customHeight="1" x14ac:dyDescent="0.3"/>
    <row r="153" ht="16.95" customHeight="1" x14ac:dyDescent="0.3"/>
    <row r="154" ht="16.95" customHeight="1" x14ac:dyDescent="0.3"/>
    <row r="155" ht="16.95" customHeight="1" x14ac:dyDescent="0.3"/>
    <row r="156" ht="16.95" customHeight="1" x14ac:dyDescent="0.3"/>
    <row r="157" ht="16.95" customHeight="1" x14ac:dyDescent="0.3"/>
    <row r="158" ht="16.95" customHeight="1" x14ac:dyDescent="0.3"/>
    <row r="159" ht="16.95" customHeight="1" x14ac:dyDescent="0.3"/>
    <row r="160" ht="16.95" customHeight="1" x14ac:dyDescent="0.3"/>
    <row r="161" ht="16.95" customHeight="1" x14ac:dyDescent="0.3"/>
    <row r="162" ht="16.95" customHeight="1" x14ac:dyDescent="0.3"/>
    <row r="163" ht="16.95" customHeight="1" x14ac:dyDescent="0.3"/>
    <row r="164" ht="16.95" customHeight="1" x14ac:dyDescent="0.3"/>
    <row r="165" ht="16.95" customHeight="1" x14ac:dyDescent="0.3"/>
    <row r="166" ht="16.95" customHeight="1" x14ac:dyDescent="0.3"/>
    <row r="167" ht="16.95" customHeight="1" x14ac:dyDescent="0.3"/>
    <row r="168" ht="16.95" customHeight="1" x14ac:dyDescent="0.3"/>
    <row r="169" ht="16.95" customHeight="1" x14ac:dyDescent="0.3"/>
    <row r="170" ht="16.95" customHeight="1" x14ac:dyDescent="0.3"/>
    <row r="171" ht="16.95" customHeight="1" x14ac:dyDescent="0.3"/>
    <row r="172" ht="16.95" customHeight="1" x14ac:dyDescent="0.3"/>
    <row r="173" ht="16.95" customHeight="1" x14ac:dyDescent="0.3"/>
    <row r="174" ht="16.95" customHeight="1" x14ac:dyDescent="0.3"/>
    <row r="175" ht="16.95" customHeight="1" x14ac:dyDescent="0.3"/>
    <row r="176" ht="16.95" customHeight="1" x14ac:dyDescent="0.3"/>
    <row r="177" ht="16.95" customHeight="1" x14ac:dyDescent="0.3"/>
    <row r="178" ht="16.95" customHeight="1" x14ac:dyDescent="0.3"/>
    <row r="179" ht="16.95" customHeight="1" x14ac:dyDescent="0.3"/>
    <row r="180" ht="16.95" customHeight="1" x14ac:dyDescent="0.3"/>
    <row r="181" ht="16.95" customHeight="1" x14ac:dyDescent="0.3"/>
    <row r="182" ht="16.95" customHeight="1" x14ac:dyDescent="0.3"/>
    <row r="183" ht="16.95" customHeight="1" x14ac:dyDescent="0.3"/>
    <row r="184" ht="16.95" customHeight="1" x14ac:dyDescent="0.3"/>
    <row r="185" ht="16.95" customHeight="1" x14ac:dyDescent="0.3"/>
    <row r="186" ht="16.95" customHeight="1" x14ac:dyDescent="0.3"/>
    <row r="187" ht="16.95" customHeight="1" x14ac:dyDescent="0.3"/>
    <row r="188" ht="16.95" customHeight="1" x14ac:dyDescent="0.3"/>
    <row r="189" ht="16.95" customHeight="1" x14ac:dyDescent="0.3"/>
    <row r="190" ht="16.95" customHeight="1" x14ac:dyDescent="0.3"/>
    <row r="191" ht="16.95" customHeight="1" x14ac:dyDescent="0.3"/>
    <row r="192" ht="16.95" customHeight="1" x14ac:dyDescent="0.3"/>
    <row r="193" ht="16.95" customHeight="1" x14ac:dyDescent="0.3"/>
    <row r="194" ht="16.95" customHeight="1" x14ac:dyDescent="0.3"/>
    <row r="195" ht="16.95" customHeight="1" x14ac:dyDescent="0.3"/>
    <row r="196" ht="16.95" customHeight="1" x14ac:dyDescent="0.3"/>
    <row r="197" ht="16.95" customHeight="1" x14ac:dyDescent="0.3"/>
    <row r="198" ht="16.05" customHeight="1" x14ac:dyDescent="0.3"/>
    <row r="199" ht="16.05" customHeight="1" x14ac:dyDescent="0.3"/>
    <row r="200" ht="16.05" customHeight="1" x14ac:dyDescent="0.3"/>
  </sheetData>
  <conditionalFormatting sqref="J5:J8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E3B9-3B65-432B-A45D-FAE5B44792E5}">
  <sheetPr codeName="Hoja5">
    <tabColor rgb="FFC00000"/>
  </sheetPr>
  <dimension ref="C4:E73"/>
  <sheetViews>
    <sheetView workbookViewId="0">
      <selection activeCell="H65" sqref="H65"/>
    </sheetView>
  </sheetViews>
  <sheetFormatPr baseColWidth="10" defaultRowHeight="14.4" x14ac:dyDescent="0.3"/>
  <sheetData>
    <row r="4" spans="3:5" x14ac:dyDescent="0.3">
      <c r="C4" t="s">
        <v>53</v>
      </c>
      <c r="E4">
        <v>1</v>
      </c>
    </row>
    <row r="5" spans="3:5" x14ac:dyDescent="0.3">
      <c r="C5" t="s">
        <v>54</v>
      </c>
      <c r="E5">
        <v>2</v>
      </c>
    </row>
    <row r="6" spans="3:5" x14ac:dyDescent="0.3">
      <c r="C6" t="s">
        <v>55</v>
      </c>
      <c r="E6">
        <v>3</v>
      </c>
    </row>
    <row r="7" spans="3:5" x14ac:dyDescent="0.3">
      <c r="C7" t="s">
        <v>56</v>
      </c>
      <c r="E7">
        <v>4</v>
      </c>
    </row>
    <row r="8" spans="3:5" x14ac:dyDescent="0.3">
      <c r="E8">
        <v>5</v>
      </c>
    </row>
    <row r="9" spans="3:5" x14ac:dyDescent="0.3">
      <c r="E9">
        <v>6</v>
      </c>
    </row>
    <row r="10" spans="3:5" x14ac:dyDescent="0.3">
      <c r="E10">
        <v>7</v>
      </c>
    </row>
    <row r="11" spans="3:5" x14ac:dyDescent="0.3">
      <c r="E11">
        <v>8</v>
      </c>
    </row>
    <row r="12" spans="3:5" x14ac:dyDescent="0.3">
      <c r="E12">
        <v>9</v>
      </c>
    </row>
    <row r="13" spans="3:5" x14ac:dyDescent="0.3">
      <c r="E13">
        <v>10</v>
      </c>
    </row>
    <row r="14" spans="3:5" x14ac:dyDescent="0.3">
      <c r="E14">
        <v>11</v>
      </c>
    </row>
    <row r="15" spans="3:5" x14ac:dyDescent="0.3">
      <c r="E15">
        <v>12</v>
      </c>
    </row>
    <row r="16" spans="3:5" x14ac:dyDescent="0.3">
      <c r="E16">
        <v>13</v>
      </c>
    </row>
    <row r="17" spans="5:5" x14ac:dyDescent="0.3">
      <c r="E17">
        <v>14</v>
      </c>
    </row>
    <row r="18" spans="5:5" x14ac:dyDescent="0.3">
      <c r="E18">
        <v>15</v>
      </c>
    </row>
    <row r="19" spans="5:5" x14ac:dyDescent="0.3">
      <c r="E19">
        <v>16</v>
      </c>
    </row>
    <row r="20" spans="5:5" x14ac:dyDescent="0.3">
      <c r="E20">
        <v>17</v>
      </c>
    </row>
    <row r="21" spans="5:5" x14ac:dyDescent="0.3">
      <c r="E21">
        <v>18</v>
      </c>
    </row>
    <row r="22" spans="5:5" x14ac:dyDescent="0.3">
      <c r="E22">
        <v>19</v>
      </c>
    </row>
    <row r="23" spans="5:5" x14ac:dyDescent="0.3">
      <c r="E23">
        <v>20</v>
      </c>
    </row>
    <row r="73" spans="4:5" x14ac:dyDescent="0.3">
      <c r="D73" s="37" t="s">
        <v>83</v>
      </c>
      <c r="E73" s="37"/>
    </row>
  </sheetData>
  <mergeCells count="1">
    <mergeCell ref="D73:E7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Clientes</vt:lpstr>
      <vt:lpstr>Calculadora</vt:lpstr>
      <vt:lpstr>Estados</vt:lpstr>
      <vt:lpstr>Resumen</vt:lpstr>
      <vt:lpstr>Datos</vt:lpstr>
      <vt:lpstr>cuotas</vt:lpstr>
      <vt:lpstr>modalidad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Josue Zelaya</cp:lastModifiedBy>
  <dcterms:created xsi:type="dcterms:W3CDTF">2015-06-05T18:17:20Z</dcterms:created>
  <dcterms:modified xsi:type="dcterms:W3CDTF">2025-06-06T17:39:53Z</dcterms:modified>
</cp:coreProperties>
</file>